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5cddf8050c0c619f/Documents/"/>
    </mc:Choice>
  </mc:AlternateContent>
  <xr:revisionPtr revIDLastSave="1" documentId="8_{F9DF2DE2-8BF4-4090-ABB0-D5444FA2EF84}" xr6:coauthVersionLast="47" xr6:coauthVersionMax="47" xr10:uidLastSave="{1F84793E-8FD1-48C0-A320-8E134C447A21}"/>
  <bookViews>
    <workbookView xWindow="-110" yWindow="-110" windowWidth="19420" windowHeight="10300" activeTab="1" xr2:uid="{23F89834-20B5-4C32-ABC7-FA155FDEB3C7}"/>
  </bookViews>
  <sheets>
    <sheet name="Pivot Report" sheetId="1" r:id="rId1"/>
    <sheet name="Dashboard" sheetId="2" r:id="rId2"/>
    <sheet name="Daily ER No of Patient" sheetId="4" r:id="rId3"/>
    <sheet name="Average wait time daily trend" sheetId="5" r:id="rId4"/>
    <sheet name="Satisfaction score " sheetId="6" r:id="rId5"/>
  </sheets>
  <definedNames>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4376c6d-d9a7-4261-bc57-60cc7ad83335" name="Hospital Emergency Room Data" connection="Query - Hospital Emergency Room Data"/>
          <x15:modelTable id="Calendar Table_438c9b6a-9336-45e7-8b7b-f95723837c30"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4" i="1" l="1"/>
  <c r="A25" i="1"/>
  <c r="C24" i="1"/>
  <c r="B25" i="1"/>
  <c r="C25" i="1"/>
  <c r="B2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810520-0D57-44DA-9D2F-991F879508A2}" name="Query - Calendar Table" description="Connection to the 'Calendar Table' query in the workbook." type="100" refreshedVersion="8" minRefreshableVersion="5">
    <extLst>
      <ext xmlns:x15="http://schemas.microsoft.com/office/spreadsheetml/2010/11/main" uri="{DE250136-89BD-433C-8126-D09CA5730AF9}">
        <x15:connection id="c6a3a775-9cac-4551-b827-f86ec9fea2f1"/>
      </ext>
    </extLst>
  </connection>
  <connection id="2" xr16:uid="{4A738A8E-E3DA-4DFD-A687-A07DB695908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64bcdaf-60c6-47c5-904c-d95a158355a2"/>
      </ext>
    </extLst>
  </connection>
  <connection id="3" xr16:uid="{E70CDD53-F744-4311-A54D-2510FB03045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<sst xmlns="http://schemas.openxmlformats.org/spreadsheetml/2006/main" count="154" uniqueCount="73">
  <si>
    <t>Distinct Count of Patient Id</t>
  </si>
  <si>
    <t>Average of Patient Waittime</t>
  </si>
  <si>
    <t>Average of Patient Satisfaction Score</t>
  </si>
  <si>
    <t>Grand Total</t>
  </si>
  <si>
    <t>2024</t>
  </si>
  <si>
    <t>Row Labels</t>
  </si>
  <si>
    <t>Male</t>
  </si>
  <si>
    <t>None</t>
  </si>
  <si>
    <t>Admitted</t>
  </si>
  <si>
    <t>60-69</t>
  </si>
  <si>
    <t>On Time</t>
  </si>
  <si>
    <t>10-19</t>
  </si>
  <si>
    <t>Delay</t>
  </si>
  <si>
    <t>70-79</t>
  </si>
  <si>
    <t>40-49</t>
  </si>
  <si>
    <t>50-59</t>
  </si>
  <si>
    <t>0-09</t>
  </si>
  <si>
    <t>20-29</t>
  </si>
  <si>
    <t>30-39</t>
  </si>
  <si>
    <t>Female</t>
  </si>
  <si>
    <t>Not Admitted</t>
  </si>
  <si>
    <t>General Practice</t>
  </si>
  <si>
    <t>Orthopedics</t>
  </si>
  <si>
    <t>Physiotherapy</t>
  </si>
  <si>
    <t>Cardiology</t>
  </si>
  <si>
    <t>Neurology</t>
  </si>
  <si>
    <t>Gastroenterology</t>
  </si>
  <si>
    <t>Renal</t>
  </si>
  <si>
    <t>average wait time</t>
  </si>
  <si>
    <t>no. of patient</t>
  </si>
  <si>
    <t>patient satisfaction score</t>
  </si>
  <si>
    <t>Count of Patient Admission Flag</t>
  </si>
  <si>
    <t>Count of Patient Admission Flag2</t>
  </si>
  <si>
    <t>Admission Status</t>
  </si>
  <si>
    <t>No. of Patient</t>
  </si>
  <si>
    <t>% Status</t>
  </si>
  <si>
    <t>Count of Age Group</t>
  </si>
  <si>
    <t>age group analysis</t>
  </si>
  <si>
    <t>Count of Patient Attend Status</t>
  </si>
  <si>
    <t>attended status</t>
  </si>
  <si>
    <t>Count of Patient Gender</t>
  </si>
  <si>
    <t>Count of Department Referral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</si>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</sst>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sz val="11"/>
      <color theme="1"/>
      <name val="Arial"/>
      <family val="2"/>
    </font>
  </fonts>
  <fills count="7">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theme="4" tint="-0.499984740745262"/>
        <bgColor indexed="64"/>
      </patternFill>
    </fill>
    <fill>
      <patternFill patternType="solid">
        <fgColor theme="3" tint="9.9978637043366805E-2"/>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0" fontId="0" fillId="5" borderId="0" xfId="0" applyFill="1"/>
    <xf numFmtId="10" fontId="0" fillId="0" borderId="0" xfId="0" applyNumberFormat="1"/>
    <xf numFmtId="0" fontId="2" fillId="0" borderId="0" xfId="0" applyFont="1"/>
    <xf numFmtId="0" fontId="0" fillId="6" borderId="0" xfId="0" applyFill="1" applyAlignment="1">
      <alignment horizontal="left"/>
    </xf>
    <xf numFmtId="9" fontId="0" fillId="3" borderId="0" xfId="1" applyFont="1" applyFill="1"/>
    <xf numFmtId="1" fontId="0" fillId="0" borderId="0" xfId="0" applyNumberFormat="1"/>
    <xf numFmtId="0" fontId="0" fillId="0" borderId="0" xfId="0" applyNumberFormat="1"/>
  </cellXfs>
  <cellStyles count="2">
    <cellStyle name="Normal" xfId="0" builtinId="0"/>
    <cellStyle name="Per cent" xfId="1" builtinId="5"/>
  </cellStyles>
  <dxfs count="3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font>
        <b/>
        <color theme="1"/>
      </font>
      <border>
        <bottom style="thin">
          <color theme="8"/>
        </bottom>
        <vertical/>
        <horizontal/>
      </border>
    </dxf>
    <dxf>
      <font>
        <b/>
        <i val="0"/>
        <sz val="10"/>
        <color theme="1"/>
      </font>
      <fill>
        <patternFill patternType="solid">
          <bgColor theme="2"/>
        </patternFill>
      </fill>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My Style" pivot="0" table="0" count="10" xr9:uid="{BCE2F639-6E4E-4FEF-AA5B-F653DFD3FD5A}">
      <tableStyleElement type="wholeTable" dxfId="35"/>
      <tableStyleElement type="headerRow" dxfId="3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c:spPr>
        <c:dLbl>
          <c:idx val="0"/>
          <c:layout>
            <c:manualLayout>
              <c:x val="-2.9355207018808968E-3"/>
              <c:y val="-1.6903215844135809E-2"/>
            </c:manualLayout>
          </c:layout>
          <c:spPr>
            <a:noFill/>
            <a:ln>
              <a:noFill/>
            </a:ln>
            <a:effectLst/>
          </c:spPr>
          <c:txPr>
            <a:bodyPr rot="0" spcFirstLastPara="1" vertOverflow="ellipsis"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8520429153203624"/>
                  <c:h val="0.3360409361863001"/>
                </c:manualLayout>
              </c15:layout>
              <c15:showDataLabelsRange val="1"/>
            </c:ext>
          </c:extLst>
        </c:dLbl>
      </c:pivotFmt>
    </c:pivotFmts>
    <c:plotArea>
      <c:layout>
        <c:manualLayout>
          <c:layoutTarget val="inner"/>
          <c:xMode val="edge"/>
          <c:yMode val="edge"/>
          <c:x val="5.8767635625757715E-2"/>
          <c:y val="6.3253012048192767E-2"/>
          <c:w val="0.83219542031423221"/>
          <c:h val="0.76049589158320308"/>
        </c:manualLayout>
      </c:layout>
      <c:barChart>
        <c:barDir val="bar"/>
        <c:grouping val="clustered"/>
        <c:varyColors val="0"/>
        <c:ser>
          <c:idx val="0"/>
          <c:order val="0"/>
          <c:tx>
            <c:strRef>
              <c:f>'Pivot Report'!$B$17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A0F-474B-8E0A-27FCF0052F43}"/>
              </c:ext>
            </c:extLst>
          </c:dPt>
          <c:dPt>
            <c:idx val="1"/>
            <c:invertIfNegative val="0"/>
            <c:bubble3D val="0"/>
            <c:extLst>
              <c:ext xmlns:c16="http://schemas.microsoft.com/office/drawing/2014/chart" uri="{C3380CC4-5D6E-409C-BE32-E72D297353CC}">
                <c16:uniqueId val="{00000001-FA0F-474B-8E0A-27FCF0052F43}"/>
              </c:ext>
            </c:extLst>
          </c:dPt>
          <c:dLbls>
            <c:dLbl>
              <c:idx val="0"/>
              <c:delete val="1"/>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FA0F-474B-8E0A-27FCF0052F43}"/>
                </c:ext>
              </c:extLst>
            </c:dLbl>
            <c:dLbl>
              <c:idx val="1"/>
              <c:layout>
                <c:manualLayout>
                  <c:x val="-2.9355207018808968E-3"/>
                  <c:y val="-1.6903215844135809E-2"/>
                </c:manualLayout>
              </c:layout>
              <c:spPr>
                <a:noFill/>
                <a:ln>
                  <a:noFill/>
                </a:ln>
                <a:effectLst/>
              </c:spPr>
              <c:txPr>
                <a:bodyPr rot="0" spcFirstLastPara="1" vertOverflow="ellipsis"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8520429153203624"/>
                      <c:h val="0.3360409361863001"/>
                    </c:manualLayout>
                  </c15:layout>
                  <c15:showDataLabelsRange val="1"/>
                </c:ext>
                <c:ext xmlns:c16="http://schemas.microsoft.com/office/drawing/2014/chart" uri="{C3380CC4-5D6E-409C-BE32-E72D297353CC}">
                  <c16:uniqueId val="{00000001-FA0F-474B-8E0A-27FCF0052F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Report'!$A$18:$A$20</c:f>
              <c:strCache>
                <c:ptCount val="2"/>
                <c:pt idx="0">
                  <c:v>Admitted</c:v>
                </c:pt>
                <c:pt idx="1">
                  <c:v>Not Admitted</c:v>
                </c:pt>
              </c:strCache>
            </c:strRef>
          </c:cat>
          <c:val>
            <c:numRef>
              <c:f>'Pivot Report'!$B$18:$B$20</c:f>
              <c:numCache>
                <c:formatCode>0.00</c:formatCode>
                <c:ptCount val="2"/>
                <c:pt idx="0">
                  <c:v>269</c:v>
                </c:pt>
                <c:pt idx="1">
                  <c:v>244</c:v>
                </c:pt>
              </c:numCache>
            </c:numRef>
          </c:val>
          <c:extLst>
            <c:ext xmlns:c16="http://schemas.microsoft.com/office/drawing/2014/chart" uri="{C3380CC4-5D6E-409C-BE32-E72D297353CC}">
              <c16:uniqueId val="{0000000B-2801-4C27-BA2B-978ABB804362}"/>
            </c:ext>
          </c:extLst>
        </c:ser>
        <c:ser>
          <c:idx val="1"/>
          <c:order val="1"/>
          <c:tx>
            <c:strRef>
              <c:f>'Pivot Report'!$C$17</c:f>
              <c:strCache>
                <c:ptCount val="1"/>
                <c:pt idx="0">
                  <c:v>Count of Patient Admission Flag2</c:v>
                </c:pt>
              </c:strCache>
            </c:strRef>
          </c:tx>
          <c:spPr>
            <a:solidFill>
              <a:schemeClr val="accent2"/>
            </a:solidFill>
            <a:ln>
              <a:noFill/>
            </a:ln>
            <a:effectLst/>
          </c:spPr>
          <c:invertIfNegative val="0"/>
          <c:cat>
            <c:strRef>
              <c:f>'Pivot Report'!$A$18:$A$20</c:f>
              <c:strCache>
                <c:ptCount val="2"/>
                <c:pt idx="0">
                  <c:v>Admitted</c:v>
                </c:pt>
                <c:pt idx="1">
                  <c:v>Not Admitted</c:v>
                </c:pt>
              </c:strCache>
            </c:strRef>
          </c:cat>
          <c:val>
            <c:numRef>
              <c:f>'Pivot Report'!$C$18:$C$20</c:f>
              <c:numCache>
                <c:formatCode>0.00%</c:formatCode>
                <c:ptCount val="2"/>
                <c:pt idx="0">
                  <c:v>0.52436647173489281</c:v>
                </c:pt>
                <c:pt idx="1">
                  <c:v>0.47563352826510719</c:v>
                </c:pt>
              </c:numCache>
            </c:numRef>
          </c:val>
          <c:extLst>
            <c:ext xmlns:c16="http://schemas.microsoft.com/office/drawing/2014/chart" uri="{C3380CC4-5D6E-409C-BE32-E72D297353CC}">
              <c16:uniqueId val="{0000000C-2801-4C27-BA2B-978ABB804362}"/>
            </c:ext>
          </c:extLst>
        </c:ser>
        <c:dLbls>
          <c:showLegendKey val="0"/>
          <c:showVal val="0"/>
          <c:showCatName val="0"/>
          <c:showSerName val="0"/>
          <c:showPercent val="0"/>
          <c:showBubbleSize val="0"/>
        </c:dLbls>
        <c:gapWidth val="0"/>
        <c:axId val="413172367"/>
        <c:axId val="413172727"/>
      </c:barChart>
      <c:catAx>
        <c:axId val="413172367"/>
        <c:scaling>
          <c:orientation val="minMax"/>
        </c:scaling>
        <c:delete val="1"/>
        <c:axPos val="l"/>
        <c:numFmt formatCode="General" sourceLinked="1"/>
        <c:majorTickMark val="none"/>
        <c:minorTickMark val="none"/>
        <c:tickLblPos val="nextTo"/>
        <c:crossAx val="413172727"/>
        <c:crosses val="autoZero"/>
        <c:auto val="1"/>
        <c:lblAlgn val="ctr"/>
        <c:lblOffset val="100"/>
        <c:noMultiLvlLbl val="0"/>
      </c:catAx>
      <c:valAx>
        <c:axId val="413172727"/>
        <c:scaling>
          <c:orientation val="minMax"/>
        </c:scaling>
        <c:delete val="1"/>
        <c:axPos val="b"/>
        <c:numFmt formatCode="0.00" sourceLinked="1"/>
        <c:majorTickMark val="none"/>
        <c:minorTickMark val="none"/>
        <c:tickLblPos val="nextTo"/>
        <c:crossAx val="41317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0601839130019"/>
          <c:y val="0"/>
          <c:w val="0.80230415026393653"/>
          <c:h val="1"/>
        </c:manualLayout>
      </c:layout>
      <c:areaChart>
        <c:grouping val="standard"/>
        <c:varyColors val="0"/>
        <c:ser>
          <c:idx val="0"/>
          <c:order val="0"/>
          <c:tx>
            <c:strRef>
              <c:f>'Pivot Report'!$G$4</c:f>
              <c:strCache>
                <c:ptCount val="1"/>
                <c:pt idx="0">
                  <c:v>Total</c:v>
                </c:pt>
              </c:strCache>
            </c:strRef>
          </c:tx>
          <c:spPr>
            <a:solidFill>
              <a:schemeClr val="accent1">
                <a:alpha val="74000"/>
              </a:schemeClr>
            </a:solidFill>
            <a:ln w="25400">
              <a:noFill/>
            </a:ln>
            <a:effectLst>
              <a:innerShdw blurRad="114300">
                <a:schemeClr val="accent1">
                  <a:lumMod val="75000"/>
                </a:schemeClr>
              </a:innerShdw>
            </a:effectLst>
          </c:spPr>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5-EA81-48D0-9C43-E8D5A9242036}"/>
            </c:ext>
          </c:extLst>
        </c:ser>
        <c:dLbls>
          <c:showLegendKey val="0"/>
          <c:showVal val="0"/>
          <c:showCatName val="0"/>
          <c:showSerName val="0"/>
          <c:showPercent val="0"/>
          <c:showBubbleSize val="0"/>
        </c:dLbls>
        <c:axId val="410455775"/>
        <c:axId val="410457215"/>
      </c:areaChart>
      <c:catAx>
        <c:axId val="410455775"/>
        <c:scaling>
          <c:orientation val="minMax"/>
        </c:scaling>
        <c:delete val="1"/>
        <c:axPos val="b"/>
        <c:numFmt formatCode="General" sourceLinked="1"/>
        <c:majorTickMark val="none"/>
        <c:minorTickMark val="none"/>
        <c:tickLblPos val="nextTo"/>
        <c:crossAx val="410457215"/>
        <c:crosses val="autoZero"/>
        <c:auto val="1"/>
        <c:lblAlgn val="ctr"/>
        <c:lblOffset val="100"/>
        <c:noMultiLvlLbl val="0"/>
      </c:catAx>
      <c:valAx>
        <c:axId val="410457215"/>
        <c:scaling>
          <c:orientation val="minMax"/>
        </c:scaling>
        <c:delete val="1"/>
        <c:axPos val="l"/>
        <c:numFmt formatCode="General" sourceLinked="1"/>
        <c:majorTickMark val="none"/>
        <c:minorTickMark val="none"/>
        <c:tickLblPos val="nextTo"/>
        <c:crossAx val="410455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27059673454469E-2"/>
          <c:y val="1.8486893741904566E-2"/>
          <c:w val="0.9691482930279488"/>
          <c:h val="0.9148682994283307"/>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Report'!$L$5:$L$36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5-DB15-45A4-B8D0-448EBB2CF6A0}"/>
            </c:ext>
          </c:extLst>
        </c:ser>
        <c:dLbls>
          <c:showLegendKey val="0"/>
          <c:showVal val="0"/>
          <c:showCatName val="0"/>
          <c:showSerName val="0"/>
          <c:showPercent val="0"/>
          <c:showBubbleSize val="0"/>
        </c:dLbls>
        <c:axId val="274431463"/>
        <c:axId val="274432183"/>
      </c:areaChart>
      <c:catAx>
        <c:axId val="274431463"/>
        <c:scaling>
          <c:orientation val="minMax"/>
        </c:scaling>
        <c:delete val="1"/>
        <c:axPos val="b"/>
        <c:numFmt formatCode="General" sourceLinked="1"/>
        <c:majorTickMark val="out"/>
        <c:minorTickMark val="none"/>
        <c:tickLblPos val="nextTo"/>
        <c:crossAx val="274432183"/>
        <c:crosses val="autoZero"/>
        <c:auto val="1"/>
        <c:lblAlgn val="ctr"/>
        <c:lblOffset val="100"/>
        <c:noMultiLvlLbl val="0"/>
      </c:catAx>
      <c:valAx>
        <c:axId val="274432183"/>
        <c:scaling>
          <c:orientation val="minMax"/>
        </c:scaling>
        <c:delete val="1"/>
        <c:axPos val="l"/>
        <c:numFmt formatCode="0.00" sourceLinked="1"/>
        <c:majorTickMark val="none"/>
        <c:minorTickMark val="none"/>
        <c:tickLblPos val="nextTo"/>
        <c:crossAx val="274431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4855446184699E-3"/>
          <c:y val="5.0576537248936203E-2"/>
          <c:w val="0.99511512722016504"/>
          <c:h val="0.94942346275106382"/>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5-0C9B-49DF-9813-942E0574F4FD}"/>
            </c:ext>
          </c:extLst>
        </c:ser>
        <c:dLbls>
          <c:showLegendKey val="0"/>
          <c:showVal val="0"/>
          <c:showCatName val="0"/>
          <c:showSerName val="0"/>
          <c:showPercent val="0"/>
          <c:showBubbleSize val="0"/>
        </c:dLbls>
        <c:axId val="404580599"/>
        <c:axId val="404572319"/>
      </c:areaChart>
      <c:catAx>
        <c:axId val="404580599"/>
        <c:scaling>
          <c:orientation val="minMax"/>
        </c:scaling>
        <c:delete val="1"/>
        <c:axPos val="b"/>
        <c:numFmt formatCode="General" sourceLinked="1"/>
        <c:majorTickMark val="out"/>
        <c:minorTickMark val="none"/>
        <c:tickLblPos val="nextTo"/>
        <c:crossAx val="404572319"/>
        <c:crosses val="autoZero"/>
        <c:auto val="1"/>
        <c:lblAlgn val="ctr"/>
        <c:lblOffset val="100"/>
        <c:noMultiLvlLbl val="0"/>
      </c:catAx>
      <c:valAx>
        <c:axId val="404572319"/>
        <c:scaling>
          <c:orientation val="minMax"/>
        </c:scaling>
        <c:delete val="1"/>
        <c:axPos val="l"/>
        <c:numFmt formatCode="0.00" sourceLinked="1"/>
        <c:majorTickMark val="none"/>
        <c:minorTickMark val="none"/>
        <c:tickLblPos val="nextTo"/>
        <c:crossAx val="404580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063984456750584E-2"/>
          <c:y val="9.3198555780726347E-2"/>
          <c:w val="0.96794730997145395"/>
          <c:h val="0.74088445464021335"/>
        </c:manualLayout>
      </c:layout>
      <c:barChart>
        <c:barDir val="col"/>
        <c:grouping val="clustered"/>
        <c:varyColors val="0"/>
        <c:ser>
          <c:idx val="0"/>
          <c:order val="0"/>
          <c:tx>
            <c:strRef>
              <c:f>'Pivot Report'!$B$28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Report'!$A$29:$A$37</c:f>
              <c:strCache>
                <c:ptCount val="8"/>
                <c:pt idx="0">
                  <c:v>0-09</c:v>
                </c:pt>
                <c:pt idx="1">
                  <c:v>10-19</c:v>
                </c:pt>
                <c:pt idx="2">
                  <c:v>20-29</c:v>
                </c:pt>
                <c:pt idx="3">
                  <c:v>30-39</c:v>
                </c:pt>
                <c:pt idx="4">
                  <c:v>40-49</c:v>
                </c:pt>
                <c:pt idx="5">
                  <c:v>50-59</c:v>
                </c:pt>
                <c:pt idx="6">
                  <c:v>60-69</c:v>
                </c:pt>
                <c:pt idx="7">
                  <c:v>70-79</c:v>
                </c:pt>
              </c:strCache>
            </c:strRef>
          </c:cat>
          <c:val>
            <c:numRef>
              <c:f>'Pivot Report'!$B$29:$B$37</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5-5491-42F8-BF2B-9437E0A12F92}"/>
            </c:ext>
          </c:extLst>
        </c:ser>
        <c:dLbls>
          <c:showLegendKey val="0"/>
          <c:showVal val="0"/>
          <c:showCatName val="0"/>
          <c:showSerName val="0"/>
          <c:showPercent val="0"/>
          <c:showBubbleSize val="0"/>
        </c:dLbls>
        <c:gapWidth val="219"/>
        <c:overlap val="-27"/>
        <c:axId val="510751591"/>
        <c:axId val="510752311"/>
      </c:barChart>
      <c:catAx>
        <c:axId val="510751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52311"/>
        <c:crosses val="autoZero"/>
        <c:auto val="1"/>
        <c:lblAlgn val="ctr"/>
        <c:lblOffset val="100"/>
        <c:noMultiLvlLbl val="0"/>
      </c:catAx>
      <c:valAx>
        <c:axId val="510752311"/>
        <c:scaling>
          <c:orientation val="minMax"/>
        </c:scaling>
        <c:delete val="1"/>
        <c:axPos val="l"/>
        <c:numFmt formatCode="0" sourceLinked="1"/>
        <c:majorTickMark val="none"/>
        <c:minorTickMark val="none"/>
        <c:tickLblPos val="nextTo"/>
        <c:crossAx val="510751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0783187669004619"/>
          <c:y val="0.10834668716827685"/>
          <c:w val="0.59743658449799741"/>
          <c:h val="0.822454929785436"/>
        </c:manualLayout>
      </c:layout>
      <c:pieChart>
        <c:varyColors val="1"/>
        <c:ser>
          <c:idx val="0"/>
          <c:order val="0"/>
          <c:tx>
            <c:strRef>
              <c:f>'Pivot Report'!$E$28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30C-4002-8E00-1C61EBA8D0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30C-4002-8E00-1C61EBA8D0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Report'!$D$29:$D$31</c:f>
              <c:strCache>
                <c:ptCount val="2"/>
                <c:pt idx="0">
                  <c:v>Delay</c:v>
                </c:pt>
                <c:pt idx="1">
                  <c:v>On Time</c:v>
                </c:pt>
              </c:strCache>
            </c:strRef>
          </c:cat>
          <c:val>
            <c:numRef>
              <c:f>'Pivot Report'!$E$29:$E$31</c:f>
              <c:numCache>
                <c:formatCode>0</c:formatCode>
                <c:ptCount val="2"/>
                <c:pt idx="0">
                  <c:v>316</c:v>
                </c:pt>
                <c:pt idx="1">
                  <c:v>197</c:v>
                </c:pt>
              </c:numCache>
            </c:numRef>
          </c:val>
          <c:extLst>
            <c:ext xmlns:c16="http://schemas.microsoft.com/office/drawing/2014/chart" uri="{C3380CC4-5D6E-409C-BE32-E72D297353CC}">
              <c16:uniqueId val="{00000009-7458-424C-9F38-DA9455ED190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8125386957785242E-3"/>
          <c:y val="0"/>
          <c:w val="0.90995334394703253"/>
          <c:h val="0.101035927801305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3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553129140212795"/>
          <c:y val="0.16101364829396328"/>
          <c:w val="0.65315865481813873"/>
          <c:h val="0.78181102362204724"/>
        </c:manualLayout>
      </c:layout>
      <c:doughnutChart>
        <c:varyColors val="1"/>
        <c:ser>
          <c:idx val="0"/>
          <c:order val="0"/>
          <c:tx>
            <c:strRef>
              <c:f>'Pivot Report'!$E$40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5FD-4AEF-B2CB-1F4D98294B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5FD-4AEF-B2CB-1F4D98294B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Report'!$D$41:$D$43</c:f>
              <c:strCache>
                <c:ptCount val="2"/>
                <c:pt idx="0">
                  <c:v>Female</c:v>
                </c:pt>
                <c:pt idx="1">
                  <c:v>Male</c:v>
                </c:pt>
              </c:strCache>
            </c:strRef>
          </c:cat>
          <c:val>
            <c:numRef>
              <c:f>'Pivot Report'!$E$41:$E$43</c:f>
              <c:numCache>
                <c:formatCode>0</c:formatCode>
                <c:ptCount val="2"/>
                <c:pt idx="0">
                  <c:v>241</c:v>
                </c:pt>
                <c:pt idx="1">
                  <c:v>272</c:v>
                </c:pt>
              </c:numCache>
            </c:numRef>
          </c:val>
          <c:extLst>
            <c:ext xmlns:c16="http://schemas.microsoft.com/office/drawing/2014/chart" uri="{C3380CC4-5D6E-409C-BE32-E72D297353CC}">
              <c16:uniqueId val="{00000009-0040-4AC4-8DB7-B7B0BFD0D2D6}"/>
            </c:ext>
          </c:extLst>
        </c:ser>
        <c:dLbls>
          <c:showLegendKey val="0"/>
          <c:showVal val="0"/>
          <c:showCatName val="0"/>
          <c:showSerName val="0"/>
          <c:showPercent val="1"/>
          <c:showBubbleSize val="0"/>
          <c:showLeaderLines val="1"/>
        </c:dLbls>
        <c:firstSliceAng val="0"/>
        <c:holeSize val="47"/>
      </c:doughnutChart>
      <c:spPr>
        <a:noFill/>
        <a:ln>
          <a:noFill/>
        </a:ln>
        <a:effectLst/>
      </c:spPr>
    </c:plotArea>
    <c:legend>
      <c:legendPos val="r"/>
      <c:layout>
        <c:manualLayout>
          <c:xMode val="edge"/>
          <c:yMode val="edge"/>
          <c:x val="2.7470072058615215E-2"/>
          <c:y val="2.2211327009324797E-2"/>
          <c:w val="0.90033141437234099"/>
          <c:h val="0.1079832104253589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Report!PivotTable13</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507783632959"/>
          <c:y val="3.8391502991515079E-2"/>
          <c:w val="0.76800564846746511"/>
          <c:h val="0.85960834053257851"/>
        </c:manualLayout>
      </c:layout>
      <c:barChart>
        <c:barDir val="bar"/>
        <c:grouping val="clustered"/>
        <c:varyColors val="0"/>
        <c:ser>
          <c:idx val="0"/>
          <c:order val="0"/>
          <c:tx>
            <c:strRef>
              <c:f>'Pivot Report'!$H$40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Report'!$G$41:$G$49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Report'!$H$41:$H$49</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5-7D2D-4E26-AACB-C8D1DBC45C92}"/>
            </c:ext>
          </c:extLst>
        </c:ser>
        <c:dLbls>
          <c:showLegendKey val="0"/>
          <c:showVal val="0"/>
          <c:showCatName val="0"/>
          <c:showSerName val="0"/>
          <c:showPercent val="0"/>
          <c:showBubbleSize val="0"/>
        </c:dLbls>
        <c:gapWidth val="42"/>
        <c:axId val="508459967"/>
        <c:axId val="508457807"/>
      </c:barChart>
      <c:catAx>
        <c:axId val="50845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57807"/>
        <c:crosses val="autoZero"/>
        <c:auto val="1"/>
        <c:lblAlgn val="ctr"/>
        <c:lblOffset val="100"/>
        <c:noMultiLvlLbl val="0"/>
      </c:catAx>
      <c:valAx>
        <c:axId val="5084578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5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33"/>
  </c:pivotSource>
  <c:chart>
    <c:title>
      <c:overlay val="0"/>
      <c:spPr>
        <a:noFill/>
        <a:ln>
          <a:noFill/>
        </a:ln>
        <a:effectLst/>
      </c:spPr>
      <c:txPr>
        <a:bodyPr rot="0" spcFirstLastPara="1" vertOverflow="ellipsis" vert="horz" wrap="square" anchor="ctr" anchorCtr="1"/>
        <a:lstStyle/>
        <a:p>
          <a:pPr>
            <a:defRPr sz="108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5505978419365"/>
          <c:y val="0.11426741940276333"/>
          <c:w val="0.81402887139107616"/>
          <c:h val="0.61723815183479414"/>
        </c:manualLayout>
      </c:layout>
      <c:areaChart>
        <c:grouping val="standard"/>
        <c:varyColors val="0"/>
        <c:ser>
          <c:idx val="0"/>
          <c:order val="0"/>
          <c:tx>
            <c:strRef>
              <c:f>'Pivot Report'!$G$4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5-A802-4B45-817E-8C7D80680CCD}"/>
            </c:ext>
          </c:extLst>
        </c:ser>
        <c:dLbls>
          <c:showLegendKey val="0"/>
          <c:showVal val="1"/>
          <c:showCatName val="0"/>
          <c:showSerName val="0"/>
          <c:showPercent val="0"/>
          <c:showBubbleSize val="0"/>
        </c:dLbls>
        <c:axId val="410455775"/>
        <c:axId val="410457215"/>
      </c:areaChart>
      <c:catAx>
        <c:axId val="410455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0457215"/>
        <c:crosses val="autoZero"/>
        <c:auto val="1"/>
        <c:lblAlgn val="ctr"/>
        <c:lblOffset val="100"/>
        <c:noMultiLvlLbl val="0"/>
      </c:catAx>
      <c:valAx>
        <c:axId val="410457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10455775"/>
        <c:crosses val="autoZero"/>
        <c:crossBetween val="midCat"/>
      </c:valAx>
      <c:dTable>
        <c:showHorzBorder val="0"/>
        <c:showVertBorder val="0"/>
        <c:showOutline val="0"/>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zero"/>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4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37649035236673E-2"/>
          <c:y val="8.2658351334401789E-2"/>
          <c:w val="0.90523984205238439"/>
          <c:h val="0.66420184437448138"/>
        </c:manualLayout>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Report'!$L$5:$L$36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5-3E48-421C-AFE3-8D5BF583863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74431463"/>
        <c:axId val="274432183"/>
      </c:areaChart>
      <c:catAx>
        <c:axId val="2744314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4432183"/>
        <c:crosses val="autoZero"/>
        <c:auto val="1"/>
        <c:lblAlgn val="ctr"/>
        <c:lblOffset val="100"/>
        <c:noMultiLvlLbl val="0"/>
      </c:catAx>
      <c:valAx>
        <c:axId val="274432183"/>
        <c:scaling>
          <c:orientation val="minMax"/>
        </c:scaling>
        <c:delete val="1"/>
        <c:axPos val="l"/>
        <c:numFmt formatCode="0.00" sourceLinked="1"/>
        <c:majorTickMark val="out"/>
        <c:minorTickMark val="none"/>
        <c:tickLblPos val="nextTo"/>
        <c:crossAx val="274431463"/>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10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4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438193367093057E-2"/>
          <c:y val="6.4657487434323868E-2"/>
          <c:w val="0.86922674767176944"/>
          <c:h val="0.74852643419572562"/>
        </c:manualLayout>
      </c:layout>
      <c:areaChart>
        <c:grouping val="standard"/>
        <c:varyColors val="0"/>
        <c:ser>
          <c:idx val="0"/>
          <c:order val="0"/>
          <c:tx>
            <c:strRef>
              <c:f>'Pivot Report'!$I$4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5-FA82-4957-A171-B5467C5A9479}"/>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404580599"/>
        <c:axId val="404572319"/>
      </c:areaChart>
      <c:catAx>
        <c:axId val="4045805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04572319"/>
        <c:crosses val="autoZero"/>
        <c:auto val="1"/>
        <c:lblAlgn val="ctr"/>
        <c:lblOffset val="100"/>
        <c:noMultiLvlLbl val="0"/>
      </c:catAx>
      <c:valAx>
        <c:axId val="404572319"/>
        <c:scaling>
          <c:orientation val="minMax"/>
        </c:scaling>
        <c:delete val="1"/>
        <c:axPos val="l"/>
        <c:numFmt formatCode="0.00" sourceLinked="1"/>
        <c:majorTickMark val="out"/>
        <c:minorTickMark val="none"/>
        <c:tickLblPos val="nextTo"/>
        <c:crossAx val="404580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 '!A1"/><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Daily ER No of Patient'!A1"/><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38201</xdr:colOff>
      <xdr:row>22</xdr:row>
      <xdr:rowOff>183322</xdr:rowOff>
    </xdr:from>
    <xdr:to>
      <xdr:col>3</xdr:col>
      <xdr:colOff>1125347</xdr:colOff>
      <xdr:row>25</xdr:row>
      <xdr:rowOff>6190</xdr:rowOff>
    </xdr:to>
    <xdr:graphicFrame macro="">
      <xdr:nvGraphicFramePr>
        <xdr:cNvPr id="11" name="Chart 10">
          <a:extLst>
            <a:ext uri="{FF2B5EF4-FFF2-40B4-BE49-F238E27FC236}">
              <a16:creationId xmlns:a16="http://schemas.microsoft.com/office/drawing/2014/main" id="{4DF0F451-56F9-E0A2-FA4E-D300F29A4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81405</xdr:colOff>
      <xdr:row>0</xdr:row>
      <xdr:rowOff>98165</xdr:rowOff>
    </xdr:from>
    <xdr:to>
      <xdr:col>5</xdr:col>
      <xdr:colOff>450049</xdr:colOff>
      <xdr:row>4</xdr:row>
      <xdr:rowOff>120702</xdr:rowOff>
    </xdr:to>
    <xdr:sp macro="" textlink="">
      <xdr:nvSpPr>
        <xdr:cNvPr id="2" name="Rectangle: Rounded Corners 1">
          <a:extLst>
            <a:ext uri="{FF2B5EF4-FFF2-40B4-BE49-F238E27FC236}">
              <a16:creationId xmlns:a16="http://schemas.microsoft.com/office/drawing/2014/main" id="{A2C94195-EB8F-AC89-BE4B-DAD5671CEEB5}"/>
            </a:ext>
          </a:extLst>
        </xdr:cNvPr>
        <xdr:cNvSpPr/>
      </xdr:nvSpPr>
      <xdr:spPr>
        <a:xfrm>
          <a:off x="81405" y="98165"/>
          <a:ext cx="3412446" cy="757248"/>
        </a:xfrm>
        <a:prstGeom prst="roundRect">
          <a:avLst>
            <a:gd name="adj" fmla="val 1357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5</xdr:col>
      <xdr:colOff>574510</xdr:colOff>
      <xdr:row>0</xdr:row>
      <xdr:rowOff>78633</xdr:rowOff>
    </xdr:from>
    <xdr:to>
      <xdr:col>8</xdr:col>
      <xdr:colOff>351117</xdr:colOff>
      <xdr:row>4</xdr:row>
      <xdr:rowOff>115454</xdr:rowOff>
    </xdr:to>
    <xdr:sp macro="" textlink="">
      <xdr:nvSpPr>
        <xdr:cNvPr id="3" name="Rectangle: Rounded Corners 2">
          <a:extLst>
            <a:ext uri="{FF2B5EF4-FFF2-40B4-BE49-F238E27FC236}">
              <a16:creationId xmlns:a16="http://schemas.microsoft.com/office/drawing/2014/main" id="{97F7CC36-CC7A-5189-C8F4-CC350BFA8704}"/>
            </a:ext>
          </a:extLst>
        </xdr:cNvPr>
        <xdr:cNvSpPr/>
      </xdr:nvSpPr>
      <xdr:spPr>
        <a:xfrm>
          <a:off x="3618312" y="78633"/>
          <a:ext cx="1602888" cy="771532"/>
        </a:xfrm>
        <a:prstGeom prst="roundRect">
          <a:avLst>
            <a:gd name="adj" fmla="val 1357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8</xdr:col>
      <xdr:colOff>475542</xdr:colOff>
      <xdr:row>0</xdr:row>
      <xdr:rowOff>69368</xdr:rowOff>
    </xdr:from>
    <xdr:to>
      <xdr:col>13</xdr:col>
      <xdr:colOff>193261</xdr:colOff>
      <xdr:row>13</xdr:row>
      <xdr:rowOff>128839</xdr:rowOff>
    </xdr:to>
    <xdr:sp macro="" textlink="">
      <xdr:nvSpPr>
        <xdr:cNvPr id="4" name="Rectangle: Rounded Corners 3">
          <a:extLst>
            <a:ext uri="{FF2B5EF4-FFF2-40B4-BE49-F238E27FC236}">
              <a16:creationId xmlns:a16="http://schemas.microsoft.com/office/drawing/2014/main" id="{4875AD00-717B-A228-DDA0-8B9D4CA24DA0}"/>
            </a:ext>
          </a:extLst>
        </xdr:cNvPr>
        <xdr:cNvSpPr/>
      </xdr:nvSpPr>
      <xdr:spPr>
        <a:xfrm>
          <a:off x="5334672" y="69368"/>
          <a:ext cx="2754676" cy="2452225"/>
        </a:xfrm>
        <a:prstGeom prst="roundRect">
          <a:avLst>
            <a:gd name="adj" fmla="val 662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13</xdr:col>
      <xdr:colOff>296057</xdr:colOff>
      <xdr:row>0</xdr:row>
      <xdr:rowOff>110591</xdr:rowOff>
    </xdr:from>
    <xdr:to>
      <xdr:col>17</xdr:col>
      <xdr:colOff>515364</xdr:colOff>
      <xdr:row>13</xdr:row>
      <xdr:rowOff>174855</xdr:rowOff>
    </xdr:to>
    <xdr:sp macro="" textlink="">
      <xdr:nvSpPr>
        <xdr:cNvPr id="5" name="Rectangle: Rounded Corners 4">
          <a:extLst>
            <a:ext uri="{FF2B5EF4-FFF2-40B4-BE49-F238E27FC236}">
              <a16:creationId xmlns:a16="http://schemas.microsoft.com/office/drawing/2014/main" id="{7EC81C1A-DCCA-7B3A-9C6F-1D8AD84C4EF9}"/>
            </a:ext>
          </a:extLst>
        </xdr:cNvPr>
        <xdr:cNvSpPr/>
      </xdr:nvSpPr>
      <xdr:spPr>
        <a:xfrm>
          <a:off x="8192144" y="110591"/>
          <a:ext cx="2648872" cy="2457018"/>
        </a:xfrm>
        <a:prstGeom prst="roundRect">
          <a:avLst>
            <a:gd name="adj" fmla="val 963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0</xdr:col>
      <xdr:colOff>29034</xdr:colOff>
      <xdr:row>6</xdr:row>
      <xdr:rowOff>44562</xdr:rowOff>
    </xdr:from>
    <xdr:to>
      <xdr:col>1</xdr:col>
      <xdr:colOff>484439</xdr:colOff>
      <xdr:row>27</xdr:row>
      <xdr:rowOff>72243</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F5465208-BA93-D6A8-23F2-133C234F7908}"/>
            </a:ext>
          </a:extLst>
        </xdr:cNvPr>
        <xdr:cNvSpPr/>
      </xdr:nvSpPr>
      <xdr:spPr>
        <a:xfrm>
          <a:off x="29034" y="1180878"/>
          <a:ext cx="1068124" cy="4004786"/>
        </a:xfrm>
        <a:prstGeom prst="roundRect">
          <a:avLst>
            <a:gd name="adj" fmla="val 1569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1</xdr:col>
      <xdr:colOff>530223</xdr:colOff>
      <xdr:row>5</xdr:row>
      <xdr:rowOff>39144</xdr:rowOff>
    </xdr:from>
    <xdr:to>
      <xdr:col>3</xdr:col>
      <xdr:colOff>436534</xdr:colOff>
      <xdr:row>10</xdr:row>
      <xdr:rowOff>85369</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F6C90B92-FD42-4FF1-9816-C564DFDAB0B2}"/>
            </a:ext>
          </a:extLst>
        </xdr:cNvPr>
        <xdr:cNvSpPr/>
      </xdr:nvSpPr>
      <xdr:spPr>
        <a:xfrm>
          <a:off x="1139127" y="952500"/>
          <a:ext cx="1124119" cy="959581"/>
        </a:xfrm>
        <a:prstGeom prst="roundRect">
          <a:avLst>
            <a:gd name="adj" fmla="val 666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3</xdr:col>
      <xdr:colOff>487559</xdr:colOff>
      <xdr:row>5</xdr:row>
      <xdr:rowOff>44046</xdr:rowOff>
    </xdr:from>
    <xdr:to>
      <xdr:col>6</xdr:col>
      <xdr:colOff>4203</xdr:colOff>
      <xdr:row>10</xdr:row>
      <xdr:rowOff>103933</xdr:rowOff>
    </xdr:to>
    <xdr:sp macro="" textlink="">
      <xdr:nvSpPr>
        <xdr:cNvPr id="8" name="Rectangle: Rounded Corners 7">
          <a:extLst>
            <a:ext uri="{FF2B5EF4-FFF2-40B4-BE49-F238E27FC236}">
              <a16:creationId xmlns:a16="http://schemas.microsoft.com/office/drawing/2014/main" id="{F0CBBDFA-8B30-24FF-1BBA-88E2CE13626D}"/>
            </a:ext>
          </a:extLst>
        </xdr:cNvPr>
        <xdr:cNvSpPr/>
      </xdr:nvSpPr>
      <xdr:spPr>
        <a:xfrm>
          <a:off x="2315478" y="961676"/>
          <a:ext cx="1344563" cy="977517"/>
        </a:xfrm>
        <a:prstGeom prst="roundRect">
          <a:avLst>
            <a:gd name="adj" fmla="val 1036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6</xdr:col>
      <xdr:colOff>49976</xdr:colOff>
      <xdr:row>5</xdr:row>
      <xdr:rowOff>62399</xdr:rowOff>
    </xdr:from>
    <xdr:to>
      <xdr:col>8</xdr:col>
      <xdr:colOff>331043</xdr:colOff>
      <xdr:row>10</xdr:row>
      <xdr:rowOff>99104</xdr:rowOff>
    </xdr:to>
    <xdr:sp macro="" textlink="">
      <xdr:nvSpPr>
        <xdr:cNvPr id="9" name="Rectangle: Rounded Corners 8">
          <a:extLst>
            <a:ext uri="{FF2B5EF4-FFF2-40B4-BE49-F238E27FC236}">
              <a16:creationId xmlns:a16="http://schemas.microsoft.com/office/drawing/2014/main" id="{A96251D9-A148-8C0C-F8DF-767A5656F744}"/>
            </a:ext>
          </a:extLst>
        </xdr:cNvPr>
        <xdr:cNvSpPr/>
      </xdr:nvSpPr>
      <xdr:spPr>
        <a:xfrm>
          <a:off x="3705814" y="980029"/>
          <a:ext cx="1499680" cy="954335"/>
        </a:xfrm>
        <a:prstGeom prst="roundRect">
          <a:avLst>
            <a:gd name="adj" fmla="val 1087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1</xdr:col>
      <xdr:colOff>520992</xdr:colOff>
      <xdr:row>11</xdr:row>
      <xdr:rowOff>38339</xdr:rowOff>
    </xdr:from>
    <xdr:to>
      <xdr:col>8</xdr:col>
      <xdr:colOff>339528</xdr:colOff>
      <xdr:row>16</xdr:row>
      <xdr:rowOff>20344</xdr:rowOff>
    </xdr:to>
    <xdr:sp macro="" textlink="">
      <xdr:nvSpPr>
        <xdr:cNvPr id="10" name="Rectangle: Rounded Corners 9">
          <a:extLst>
            <a:ext uri="{FF2B5EF4-FFF2-40B4-BE49-F238E27FC236}">
              <a16:creationId xmlns:a16="http://schemas.microsoft.com/office/drawing/2014/main" id="{BE02510D-B0A4-6C72-C22C-BE0A2BC53421}"/>
            </a:ext>
          </a:extLst>
        </xdr:cNvPr>
        <xdr:cNvSpPr/>
      </xdr:nvSpPr>
      <xdr:spPr>
        <a:xfrm>
          <a:off x="1128383" y="2062977"/>
          <a:ext cx="4070275" cy="902295"/>
        </a:xfrm>
        <a:prstGeom prst="roundRect">
          <a:avLst>
            <a:gd name="adj" fmla="val 596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1</xdr:col>
      <xdr:colOff>503494</xdr:colOff>
      <xdr:row>16</xdr:row>
      <xdr:rowOff>82826</xdr:rowOff>
    </xdr:from>
    <xdr:to>
      <xdr:col>8</xdr:col>
      <xdr:colOff>345018</xdr:colOff>
      <xdr:row>29</xdr:row>
      <xdr:rowOff>115454</xdr:rowOff>
    </xdr:to>
    <xdr:sp macro="" textlink="">
      <xdr:nvSpPr>
        <xdr:cNvPr id="11" name="Rectangle: Rounded Corners 10">
          <a:extLst>
            <a:ext uri="{FF2B5EF4-FFF2-40B4-BE49-F238E27FC236}">
              <a16:creationId xmlns:a16="http://schemas.microsoft.com/office/drawing/2014/main" id="{87CED0C9-7521-4612-BF3E-3CE95742B717}"/>
            </a:ext>
          </a:extLst>
        </xdr:cNvPr>
        <xdr:cNvSpPr/>
      </xdr:nvSpPr>
      <xdr:spPr>
        <a:xfrm>
          <a:off x="1110885" y="3027754"/>
          <a:ext cx="4093263" cy="2425381"/>
        </a:xfrm>
        <a:prstGeom prst="roundRect">
          <a:avLst>
            <a:gd name="adj" fmla="val 753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8</xdr:col>
      <xdr:colOff>583504</xdr:colOff>
      <xdr:row>15</xdr:row>
      <xdr:rowOff>343</xdr:rowOff>
    </xdr:from>
    <xdr:to>
      <xdr:col>17</xdr:col>
      <xdr:colOff>478883</xdr:colOff>
      <xdr:row>29</xdr:row>
      <xdr:rowOff>112401</xdr:rowOff>
    </xdr:to>
    <xdr:sp macro="" textlink="">
      <xdr:nvSpPr>
        <xdr:cNvPr id="12" name="Rectangle: Rounded Corners 11">
          <a:extLst>
            <a:ext uri="{FF2B5EF4-FFF2-40B4-BE49-F238E27FC236}">
              <a16:creationId xmlns:a16="http://schemas.microsoft.com/office/drawing/2014/main" id="{664B78D5-38E0-EB56-9C61-21ED8C4FCEA9}"/>
            </a:ext>
          </a:extLst>
        </xdr:cNvPr>
        <xdr:cNvSpPr/>
      </xdr:nvSpPr>
      <xdr:spPr>
        <a:xfrm>
          <a:off x="5442634" y="2761213"/>
          <a:ext cx="5361901" cy="2688869"/>
        </a:xfrm>
        <a:prstGeom prst="roundRect">
          <a:avLst>
            <a:gd name="adj" fmla="val 659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editAs="absolute">
    <xdr:from>
      <xdr:col>1</xdr:col>
      <xdr:colOff>291648</xdr:colOff>
      <xdr:row>1</xdr:row>
      <xdr:rowOff>35574</xdr:rowOff>
    </xdr:from>
    <xdr:to>
      <xdr:col>5</xdr:col>
      <xdr:colOff>425082</xdr:colOff>
      <xdr:row>2</xdr:row>
      <xdr:rowOff>72010</xdr:rowOff>
    </xdr:to>
    <xdr:sp macro="" textlink="">
      <xdr:nvSpPr>
        <xdr:cNvPr id="13" name="TextBox 12">
          <a:extLst>
            <a:ext uri="{FF2B5EF4-FFF2-40B4-BE49-F238E27FC236}">
              <a16:creationId xmlns:a16="http://schemas.microsoft.com/office/drawing/2014/main" id="{9E3393D7-7224-79F0-879A-142800224F24}"/>
            </a:ext>
          </a:extLst>
        </xdr:cNvPr>
        <xdr:cNvSpPr txBox="1"/>
      </xdr:nvSpPr>
      <xdr:spPr>
        <a:xfrm>
          <a:off x="900408" y="219252"/>
          <a:ext cx="2568476" cy="220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lang="en-JM" sz="1200" b="1"/>
            <a:t>Hospital </a:t>
          </a:r>
          <a:r>
            <a:rPr lang="en-US" sz="1200" b="1"/>
            <a:t>Emergency Room Dashboard</a:t>
          </a:r>
        </a:p>
        <a:p>
          <a:endParaRPr lang="en-US" sz="1200" b="1"/>
        </a:p>
        <a:p>
          <a:endParaRPr lang="en-US" sz="1200" b="1"/>
        </a:p>
        <a:p>
          <a:endParaRPr lang="en-JM" sz="1200" b="1"/>
        </a:p>
      </xdr:txBody>
    </xdr:sp>
    <xdr:clientData/>
  </xdr:twoCellAnchor>
  <xdr:twoCellAnchor editAs="oneCell">
    <xdr:from>
      <xdr:col>0</xdr:col>
      <xdr:colOff>0</xdr:colOff>
      <xdr:row>0</xdr:row>
      <xdr:rowOff>36220</xdr:rowOff>
    </xdr:from>
    <xdr:to>
      <xdr:col>1</xdr:col>
      <xdr:colOff>425083</xdr:colOff>
      <xdr:row>4</xdr:row>
      <xdr:rowOff>146942</xdr:rowOff>
    </xdr:to>
    <xdr:pic>
      <xdr:nvPicPr>
        <xdr:cNvPr id="15" name="Picture 14">
          <a:extLst>
            <a:ext uri="{FF2B5EF4-FFF2-40B4-BE49-F238E27FC236}">
              <a16:creationId xmlns:a16="http://schemas.microsoft.com/office/drawing/2014/main" id="{87D7DF9F-20B6-E009-5C53-E5D603A2FD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36220"/>
          <a:ext cx="1033843" cy="845433"/>
        </a:xfrm>
        <a:prstGeom prst="rect">
          <a:avLst/>
        </a:prstGeom>
      </xdr:spPr>
    </xdr:pic>
    <xdr:clientData/>
  </xdr:twoCellAnchor>
  <xdr:twoCellAnchor editAs="absolute">
    <xdr:from>
      <xdr:col>2</xdr:col>
      <xdr:colOff>73471</xdr:colOff>
      <xdr:row>2</xdr:row>
      <xdr:rowOff>125952</xdr:rowOff>
    </xdr:from>
    <xdr:to>
      <xdr:col>4</xdr:col>
      <xdr:colOff>215166</xdr:colOff>
      <xdr:row>4</xdr:row>
      <xdr:rowOff>30112</xdr:rowOff>
    </xdr:to>
    <xdr:sp macro="" textlink="">
      <xdr:nvSpPr>
        <xdr:cNvPr id="16" name="TextBox 15">
          <a:extLst>
            <a:ext uri="{FF2B5EF4-FFF2-40B4-BE49-F238E27FC236}">
              <a16:creationId xmlns:a16="http://schemas.microsoft.com/office/drawing/2014/main" id="{656E8D90-E06E-F3C2-2E94-A87B06E66645}"/>
            </a:ext>
          </a:extLst>
        </xdr:cNvPr>
        <xdr:cNvSpPr txBox="1"/>
      </xdr:nvSpPr>
      <xdr:spPr>
        <a:xfrm>
          <a:off x="1290992" y="493307"/>
          <a:ext cx="1359215" cy="271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lang="en-JM" sz="1200" b="1"/>
            <a:t>Monthly</a:t>
          </a:r>
          <a:r>
            <a:rPr lang="en-JM" sz="1600" b="1" baseline="0"/>
            <a:t> </a:t>
          </a:r>
          <a:r>
            <a:rPr lang="en-JM" sz="1200" b="1" baseline="0"/>
            <a:t>Report</a:t>
          </a:r>
        </a:p>
        <a:p>
          <a:endParaRPr lang="en-US" sz="1800"/>
        </a:p>
        <a:p>
          <a:endParaRPr lang="en-US" sz="1800"/>
        </a:p>
        <a:p>
          <a:endParaRPr lang="en-US" sz="1800"/>
        </a:p>
        <a:p>
          <a:endParaRPr lang="en-JM" sz="1800"/>
        </a:p>
      </xdr:txBody>
    </xdr:sp>
    <xdr:clientData/>
  </xdr:twoCellAnchor>
  <xdr:twoCellAnchor editAs="absolute">
    <xdr:from>
      <xdr:col>4</xdr:col>
      <xdr:colOff>36769</xdr:colOff>
      <xdr:row>5</xdr:row>
      <xdr:rowOff>84423</xdr:rowOff>
    </xdr:from>
    <xdr:to>
      <xdr:col>5</xdr:col>
      <xdr:colOff>171569</xdr:colOff>
      <xdr:row>6</xdr:row>
      <xdr:rowOff>154163</xdr:rowOff>
    </xdr:to>
    <xdr:sp macro="" textlink="'Pivot Report'!A9">
      <xdr:nvSpPr>
        <xdr:cNvPr id="17" name="TextBox 16">
          <a:extLst>
            <a:ext uri="{FF2B5EF4-FFF2-40B4-BE49-F238E27FC236}">
              <a16:creationId xmlns:a16="http://schemas.microsoft.com/office/drawing/2014/main" id="{89CB5A92-2EF5-A63B-95E8-A2D273E79325}"/>
            </a:ext>
          </a:extLst>
        </xdr:cNvPr>
        <xdr:cNvSpPr txBox="1"/>
      </xdr:nvSpPr>
      <xdr:spPr>
        <a:xfrm>
          <a:off x="2473994" y="1002053"/>
          <a:ext cx="744107" cy="2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fld id="{1534B332-942A-4E5E-BBF7-E7BCD551780D}" type="TxLink">
            <a:rPr lang="en-US" sz="1800" b="0" i="0" u="none" strike="noStrike">
              <a:solidFill>
                <a:srgbClr val="000000"/>
              </a:solidFill>
              <a:latin typeface="Aptos Narrow"/>
            </a:rPr>
            <a:pPr algn="ctr"/>
            <a:t>36.32</a:t>
          </a:fld>
          <a:endParaRPr lang="en-JM" sz="2800"/>
        </a:p>
      </xdr:txBody>
    </xdr:sp>
    <xdr:clientData/>
  </xdr:twoCellAnchor>
  <xdr:twoCellAnchor editAs="absolute">
    <xdr:from>
      <xdr:col>1</xdr:col>
      <xdr:colOff>544399</xdr:colOff>
      <xdr:row>7</xdr:row>
      <xdr:rowOff>33421</xdr:rowOff>
    </xdr:from>
    <xdr:to>
      <xdr:col>3</xdr:col>
      <xdr:colOff>357947</xdr:colOff>
      <xdr:row>8</xdr:row>
      <xdr:rowOff>83552</xdr:rowOff>
    </xdr:to>
    <xdr:sp macro="" textlink="'Pivot Report'!A5">
      <xdr:nvSpPr>
        <xdr:cNvPr id="18" name="TextBox 17">
          <a:extLst>
            <a:ext uri="{FF2B5EF4-FFF2-40B4-BE49-F238E27FC236}">
              <a16:creationId xmlns:a16="http://schemas.microsoft.com/office/drawing/2014/main" id="{F7F45F8A-BA52-0F61-4084-EE8BD62E5F8B}"/>
            </a:ext>
          </a:extLst>
        </xdr:cNvPr>
        <xdr:cNvSpPr txBox="1"/>
      </xdr:nvSpPr>
      <xdr:spPr>
        <a:xfrm>
          <a:off x="1154333" y="1320132"/>
          <a:ext cx="1033417" cy="23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JM" sz="1100"/>
            <a:t>No.</a:t>
          </a:r>
          <a:r>
            <a:rPr lang="en-JM" sz="1100" baseline="0"/>
            <a:t> of Patient</a:t>
          </a:r>
        </a:p>
        <a:p>
          <a:pPr algn="ctr"/>
          <a:endParaRPr lang="en-JM" sz="1100"/>
        </a:p>
      </xdr:txBody>
    </xdr:sp>
    <xdr:clientData/>
  </xdr:twoCellAnchor>
  <xdr:twoCellAnchor editAs="absolute">
    <xdr:from>
      <xdr:col>2</xdr:col>
      <xdr:colOff>10855</xdr:colOff>
      <xdr:row>5</xdr:row>
      <xdr:rowOff>81899</xdr:rowOff>
    </xdr:from>
    <xdr:to>
      <xdr:col>2</xdr:col>
      <xdr:colOff>601579</xdr:colOff>
      <xdr:row>7</xdr:row>
      <xdr:rowOff>75197</xdr:rowOff>
    </xdr:to>
    <xdr:sp macro="" textlink="'Pivot Report'!A5">
      <xdr:nvSpPr>
        <xdr:cNvPr id="19" name="TextBox 18">
          <a:extLst>
            <a:ext uri="{FF2B5EF4-FFF2-40B4-BE49-F238E27FC236}">
              <a16:creationId xmlns:a16="http://schemas.microsoft.com/office/drawing/2014/main" id="{95C73770-74E1-419D-B710-E6728F5805D8}"/>
            </a:ext>
          </a:extLst>
        </xdr:cNvPr>
        <xdr:cNvSpPr txBox="1"/>
      </xdr:nvSpPr>
      <xdr:spPr>
        <a:xfrm>
          <a:off x="1230723" y="1000978"/>
          <a:ext cx="590724" cy="360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fld id="{8E5F6098-CC77-401F-B4C6-B18C4E3E8D6B}" type="TxLink">
            <a:rPr lang="en-US" sz="1800" b="0" i="0" u="none" strike="noStrike">
              <a:solidFill>
                <a:srgbClr val="000000"/>
              </a:solidFill>
              <a:latin typeface="Aptos Narrow"/>
            </a:rPr>
            <a:pPr algn="ctr"/>
            <a:t>513</a:t>
          </a:fld>
          <a:endParaRPr lang="en-JM" sz="3600"/>
        </a:p>
      </xdr:txBody>
    </xdr:sp>
    <xdr:clientData/>
  </xdr:twoCellAnchor>
  <xdr:twoCellAnchor editAs="absolute">
    <xdr:from>
      <xdr:col>6</xdr:col>
      <xdr:colOff>7716</xdr:colOff>
      <xdr:row>7</xdr:row>
      <xdr:rowOff>37236</xdr:rowOff>
    </xdr:from>
    <xdr:to>
      <xdr:col>8</xdr:col>
      <xdr:colOff>422329</xdr:colOff>
      <xdr:row>8</xdr:row>
      <xdr:rowOff>29679</xdr:rowOff>
    </xdr:to>
    <xdr:sp macro="" textlink="'Pivot Report'!A5">
      <xdr:nvSpPr>
        <xdr:cNvPr id="21" name="TextBox 20">
          <a:extLst>
            <a:ext uri="{FF2B5EF4-FFF2-40B4-BE49-F238E27FC236}">
              <a16:creationId xmlns:a16="http://schemas.microsoft.com/office/drawing/2014/main" id="{F44C148B-70E9-A71A-40DD-9FB3D001F375}"/>
            </a:ext>
          </a:extLst>
        </xdr:cNvPr>
        <xdr:cNvSpPr txBox="1"/>
      </xdr:nvSpPr>
      <xdr:spPr>
        <a:xfrm>
          <a:off x="3663554" y="1321918"/>
          <a:ext cx="1633226" cy="175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JM" sz="1050" baseline="0"/>
            <a:t>Patient Satisfaction</a:t>
          </a:r>
          <a:r>
            <a:rPr lang="en-JM" sz="1100" baseline="0"/>
            <a:t> Score</a:t>
          </a:r>
        </a:p>
        <a:p>
          <a:pPr algn="ctr"/>
          <a:endParaRPr lang="en-JM" sz="1050" baseline="0"/>
        </a:p>
        <a:p>
          <a:pPr algn="ctr"/>
          <a:endParaRPr lang="en-JM" sz="1100"/>
        </a:p>
      </xdr:txBody>
    </xdr:sp>
    <xdr:clientData/>
  </xdr:twoCellAnchor>
  <xdr:twoCellAnchor editAs="absolute">
    <xdr:from>
      <xdr:col>6</xdr:col>
      <xdr:colOff>38584</xdr:colOff>
      <xdr:row>5</xdr:row>
      <xdr:rowOff>133036</xdr:rowOff>
    </xdr:from>
    <xdr:to>
      <xdr:col>7</xdr:col>
      <xdr:colOff>276391</xdr:colOff>
      <xdr:row>7</xdr:row>
      <xdr:rowOff>36041</xdr:rowOff>
    </xdr:to>
    <xdr:sp macro="" textlink="'Pivot Report'!A12">
      <xdr:nvSpPr>
        <xdr:cNvPr id="22" name="TextBox 21">
          <a:extLst>
            <a:ext uri="{FF2B5EF4-FFF2-40B4-BE49-F238E27FC236}">
              <a16:creationId xmlns:a16="http://schemas.microsoft.com/office/drawing/2014/main" id="{1E0E2DB2-C2E8-BCA1-6B5D-251F5E109199}"/>
            </a:ext>
          </a:extLst>
        </xdr:cNvPr>
        <xdr:cNvSpPr txBox="1"/>
      </xdr:nvSpPr>
      <xdr:spPr>
        <a:xfrm>
          <a:off x="3694422" y="1050666"/>
          <a:ext cx="847114" cy="270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fld id="{07FB0B74-656D-433A-BF89-E88B399E75A3}" type="TxLink">
            <a:rPr lang="en-US" sz="1600" b="0" i="0" u="none" strike="noStrike">
              <a:solidFill>
                <a:srgbClr val="000000"/>
              </a:solidFill>
              <a:latin typeface="Aptos Narrow"/>
            </a:rPr>
            <a:pPr algn="ctr"/>
            <a:t>4.96</a:t>
          </a:fld>
          <a:endParaRPr lang="en-JM" sz="1600"/>
        </a:p>
      </xdr:txBody>
    </xdr:sp>
    <xdr:clientData/>
  </xdr:twoCellAnchor>
  <xdr:twoCellAnchor editAs="absolute">
    <xdr:from>
      <xdr:col>3</xdr:col>
      <xdr:colOff>489090</xdr:colOff>
      <xdr:row>7</xdr:row>
      <xdr:rowOff>7341</xdr:rowOff>
    </xdr:from>
    <xdr:to>
      <xdr:col>6</xdr:col>
      <xdr:colOff>22024</xdr:colOff>
      <xdr:row>8</xdr:row>
      <xdr:rowOff>77080</xdr:rowOff>
    </xdr:to>
    <xdr:sp macro="" textlink="'Pivot Report'!A5">
      <xdr:nvSpPr>
        <xdr:cNvPr id="23" name="TextBox 22">
          <a:extLst>
            <a:ext uri="{FF2B5EF4-FFF2-40B4-BE49-F238E27FC236}">
              <a16:creationId xmlns:a16="http://schemas.microsoft.com/office/drawing/2014/main" id="{3AA8DE78-5953-4CED-B863-0ECB4C01B62D}"/>
            </a:ext>
          </a:extLst>
        </xdr:cNvPr>
        <xdr:cNvSpPr txBox="1"/>
      </xdr:nvSpPr>
      <xdr:spPr>
        <a:xfrm>
          <a:off x="2317009" y="1292023"/>
          <a:ext cx="1360853" cy="253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JM" sz="1100" baseline="0"/>
            <a:t>Average Wait Time(Min)</a:t>
          </a:r>
        </a:p>
        <a:p>
          <a:pPr algn="ctr"/>
          <a:endParaRPr lang="en-JM" sz="1100" baseline="0"/>
        </a:p>
        <a:p>
          <a:pPr algn="ctr"/>
          <a:endParaRPr lang="en-JM" sz="1100"/>
        </a:p>
      </xdr:txBody>
    </xdr:sp>
    <xdr:clientData/>
  </xdr:twoCellAnchor>
  <xdr:twoCellAnchor editAs="oneCell">
    <xdr:from>
      <xdr:col>3</xdr:col>
      <xdr:colOff>23735</xdr:colOff>
      <xdr:row>5</xdr:row>
      <xdr:rowOff>60834</xdr:rowOff>
    </xdr:from>
    <xdr:to>
      <xdr:col>3</xdr:col>
      <xdr:colOff>392697</xdr:colOff>
      <xdr:row>7</xdr:row>
      <xdr:rowOff>32849</xdr:rowOff>
    </xdr:to>
    <xdr:pic>
      <xdr:nvPicPr>
        <xdr:cNvPr id="25" name="Graphic 24" descr="Male profile with solid fill">
          <a:extLst>
            <a:ext uri="{FF2B5EF4-FFF2-40B4-BE49-F238E27FC236}">
              <a16:creationId xmlns:a16="http://schemas.microsoft.com/office/drawing/2014/main" id="{12D25DEE-AE00-3470-85DF-FB652F60608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53538" y="979913"/>
          <a:ext cx="368962" cy="339647"/>
        </a:xfrm>
        <a:prstGeom prst="rect">
          <a:avLst/>
        </a:prstGeom>
      </xdr:spPr>
    </xdr:pic>
    <xdr:clientData/>
  </xdr:twoCellAnchor>
  <xdr:twoCellAnchor editAs="oneCell">
    <xdr:from>
      <xdr:col>5</xdr:col>
      <xdr:colOff>324626</xdr:colOff>
      <xdr:row>5</xdr:row>
      <xdr:rowOff>100181</xdr:rowOff>
    </xdr:from>
    <xdr:to>
      <xdr:col>5</xdr:col>
      <xdr:colOff>581981</xdr:colOff>
      <xdr:row>6</xdr:row>
      <xdr:rowOff>176176</xdr:rowOff>
    </xdr:to>
    <xdr:pic>
      <xdr:nvPicPr>
        <xdr:cNvPr id="27" name="Graphic 26" descr="Hourglass Full with solid fill">
          <a:extLst>
            <a:ext uri="{FF2B5EF4-FFF2-40B4-BE49-F238E27FC236}">
              <a16:creationId xmlns:a16="http://schemas.microsoft.com/office/drawing/2014/main" id="{9E6F20E7-27FD-3442-B102-DEF02D511F7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71158" y="1017811"/>
          <a:ext cx="257355" cy="259521"/>
        </a:xfrm>
        <a:prstGeom prst="rect">
          <a:avLst/>
        </a:prstGeom>
      </xdr:spPr>
    </xdr:pic>
    <xdr:clientData/>
  </xdr:twoCellAnchor>
  <xdr:twoCellAnchor editAs="oneCell">
    <xdr:from>
      <xdr:col>7</xdr:col>
      <xdr:colOff>495404</xdr:colOff>
      <xdr:row>5</xdr:row>
      <xdr:rowOff>92464</xdr:rowOff>
    </xdr:from>
    <xdr:to>
      <xdr:col>8</xdr:col>
      <xdr:colOff>322272</xdr:colOff>
      <xdr:row>7</xdr:row>
      <xdr:rowOff>99062</xdr:rowOff>
    </xdr:to>
    <xdr:pic>
      <xdr:nvPicPr>
        <xdr:cNvPr id="29" name="Graphic 28" descr="Rating with solid fill">
          <a:extLst>
            <a:ext uri="{FF2B5EF4-FFF2-40B4-BE49-F238E27FC236}">
              <a16:creationId xmlns:a16="http://schemas.microsoft.com/office/drawing/2014/main" id="{19B00242-C536-867C-78E4-4592B4DADC9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60549" y="1010094"/>
          <a:ext cx="436174" cy="373650"/>
        </a:xfrm>
        <a:prstGeom prst="rect">
          <a:avLst/>
        </a:prstGeom>
      </xdr:spPr>
    </xdr:pic>
    <xdr:clientData/>
  </xdr:twoCellAnchor>
  <xdr:twoCellAnchor editAs="oneCell">
    <xdr:from>
      <xdr:col>0</xdr:col>
      <xdr:colOff>114147</xdr:colOff>
      <xdr:row>7</xdr:row>
      <xdr:rowOff>33420</xdr:rowOff>
    </xdr:from>
    <xdr:to>
      <xdr:col>1</xdr:col>
      <xdr:colOff>392655</xdr:colOff>
      <xdr:row>26</xdr:row>
      <xdr:rowOff>61778</xdr:rowOff>
    </xdr:to>
    <mc:AlternateContent xmlns:mc="http://schemas.openxmlformats.org/markup-compatibility/2006" xmlns:a14="http://schemas.microsoft.com/office/drawing/2010/main">
      <mc:Choice Requires="a14">
        <xdr:graphicFrame macro="">
          <xdr:nvGraphicFramePr>
            <xdr:cNvPr id="32" name="Date (Month) 1">
              <a:extLst>
                <a:ext uri="{FF2B5EF4-FFF2-40B4-BE49-F238E27FC236}">
                  <a16:creationId xmlns:a16="http://schemas.microsoft.com/office/drawing/2014/main" id="{FAB464A2-6AC3-454F-B7FF-821DCEAF656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14147" y="1323904"/>
              <a:ext cx="893024" cy="3531100"/>
            </a:xfrm>
            <a:prstGeom prst="rect">
              <a:avLst/>
            </a:prstGeom>
            <a:solidFill>
              <a:prstClr val="white"/>
            </a:solidFill>
            <a:ln w="1">
              <a:solidFill>
                <a:prstClr val="green"/>
              </a:solidFill>
            </a:ln>
          </xdr:spPr>
          <xdr:txBody>
            <a:bodyPr vertOverflow="clip" horzOverflow="clip"/>
            <a:lstStyle/>
            <a:p>
              <a:r>
                <a:rPr lang="en-J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401748</xdr:colOff>
      <xdr:row>6</xdr:row>
      <xdr:rowOff>108619</xdr:rowOff>
    </xdr:from>
    <xdr:to>
      <xdr:col>3</xdr:col>
      <xdr:colOff>503317</xdr:colOff>
      <xdr:row>10</xdr:row>
      <xdr:rowOff>43494</xdr:rowOff>
    </xdr:to>
    <xdr:graphicFrame macro="">
      <xdr:nvGraphicFramePr>
        <xdr:cNvPr id="34" name="Chart 33">
          <a:hlinkClick xmlns:r="http://schemas.openxmlformats.org/officeDocument/2006/relationships" r:id="rId1"/>
          <a:extLst>
            <a:ext uri="{FF2B5EF4-FFF2-40B4-BE49-F238E27FC236}">
              <a16:creationId xmlns:a16="http://schemas.microsoft.com/office/drawing/2014/main" id="{1D31AD27-FB8F-44F8-97B6-889D63E72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484605</xdr:colOff>
      <xdr:row>8</xdr:row>
      <xdr:rowOff>15600</xdr:rowOff>
    </xdr:from>
    <xdr:to>
      <xdr:col>5</xdr:col>
      <xdr:colOff>568158</xdr:colOff>
      <xdr:row>10</xdr:row>
      <xdr:rowOff>82151</xdr:rowOff>
    </xdr:to>
    <xdr:graphicFrame macro="">
      <xdr:nvGraphicFramePr>
        <xdr:cNvPr id="35" name="Chart 34">
          <a:hlinkClick xmlns:r="http://schemas.openxmlformats.org/officeDocument/2006/relationships" r:id="rId10"/>
          <a:extLst>
            <a:ext uri="{FF2B5EF4-FFF2-40B4-BE49-F238E27FC236}">
              <a16:creationId xmlns:a16="http://schemas.microsoft.com/office/drawing/2014/main" id="{62C7BF51-ECDF-47EB-9169-D4030A3DE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108482</xdr:colOff>
      <xdr:row>8</xdr:row>
      <xdr:rowOff>20992</xdr:rowOff>
    </xdr:from>
    <xdr:to>
      <xdr:col>8</xdr:col>
      <xdr:colOff>290888</xdr:colOff>
      <xdr:row>10</xdr:row>
      <xdr:rowOff>48677</xdr:rowOff>
    </xdr:to>
    <xdr:graphicFrame macro="">
      <xdr:nvGraphicFramePr>
        <xdr:cNvPr id="36" name="Chart 35">
          <a:hlinkClick xmlns:r="http://schemas.openxmlformats.org/officeDocument/2006/relationships" r:id="rId12"/>
          <a:extLst>
            <a:ext uri="{FF2B5EF4-FFF2-40B4-BE49-F238E27FC236}">
              <a16:creationId xmlns:a16="http://schemas.microsoft.com/office/drawing/2014/main" id="{529DEAD8-AE92-4BD0-A11B-3B650FC44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544745</xdr:colOff>
          <xdr:row>11</xdr:row>
          <xdr:rowOff>44352</xdr:rowOff>
        </xdr:from>
        <xdr:to>
          <xdr:col>8</xdr:col>
          <xdr:colOff>345829</xdr:colOff>
          <xdr:row>15</xdr:row>
          <xdr:rowOff>166761</xdr:rowOff>
        </xdr:to>
        <xdr:pic>
          <xdr:nvPicPr>
            <xdr:cNvPr id="44" name="Picture 43">
              <a:extLst>
                <a:ext uri="{FF2B5EF4-FFF2-40B4-BE49-F238E27FC236}">
                  <a16:creationId xmlns:a16="http://schemas.microsoft.com/office/drawing/2014/main" id="{EDBB72FF-2CEF-24F6-B260-4C28DB3DA1DA}"/>
                </a:ext>
              </a:extLst>
            </xdr:cNvPr>
            <xdr:cNvPicPr>
              <a:picLocks noChangeAspect="1" noChangeArrowheads="1"/>
              <a:extLst>
                <a:ext uri="{84589F7E-364E-4C9E-8A38-B11213B215E9}">
                  <a14:cameraTool cellRange="'Pivot Report'!$A$23:$D$25" spid="_x0000_s2060"/>
                </a:ext>
              </a:extLst>
            </xdr:cNvPicPr>
          </xdr:nvPicPr>
          <xdr:blipFill>
            <a:blip xmlns:r="http://schemas.openxmlformats.org/officeDocument/2006/relationships" r:embed="rId14"/>
            <a:srcRect/>
            <a:stretch>
              <a:fillRect/>
            </a:stretch>
          </xdr:blipFill>
          <xdr:spPr bwMode="auto">
            <a:xfrm>
              <a:off x="1152136" y="2068990"/>
              <a:ext cx="4052823" cy="85864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549290</xdr:colOff>
      <xdr:row>18</xdr:row>
      <xdr:rowOff>92030</xdr:rowOff>
    </xdr:from>
    <xdr:to>
      <xdr:col>8</xdr:col>
      <xdr:colOff>327423</xdr:colOff>
      <xdr:row>27</xdr:row>
      <xdr:rowOff>145583</xdr:rowOff>
    </xdr:to>
    <xdr:graphicFrame macro="">
      <xdr:nvGraphicFramePr>
        <xdr:cNvPr id="45" name="Chart 44">
          <a:extLst>
            <a:ext uri="{FF2B5EF4-FFF2-40B4-BE49-F238E27FC236}">
              <a16:creationId xmlns:a16="http://schemas.microsoft.com/office/drawing/2014/main" id="{463375FC-5FCD-4A97-BB87-8F2B6E3A6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191266</xdr:colOff>
      <xdr:row>27</xdr:row>
      <xdr:rowOff>119638</xdr:rowOff>
    </xdr:from>
    <xdr:to>
      <xdr:col>7</xdr:col>
      <xdr:colOff>45904</xdr:colOff>
      <xdr:row>29</xdr:row>
      <xdr:rowOff>73623</xdr:rowOff>
    </xdr:to>
    <xdr:sp macro="" textlink="">
      <xdr:nvSpPr>
        <xdr:cNvPr id="49" name="Rectangle: Rounded Corners 48">
          <a:extLst>
            <a:ext uri="{FF2B5EF4-FFF2-40B4-BE49-F238E27FC236}">
              <a16:creationId xmlns:a16="http://schemas.microsoft.com/office/drawing/2014/main" id="{2916B0FF-2046-8CD4-F839-17A97B5E6EE1}"/>
            </a:ext>
          </a:extLst>
        </xdr:cNvPr>
        <xdr:cNvSpPr/>
      </xdr:nvSpPr>
      <xdr:spPr>
        <a:xfrm>
          <a:off x="2013440" y="5089203"/>
          <a:ext cx="2284203" cy="322101"/>
        </a:xfrm>
        <a:prstGeom prst="roundRect">
          <a:avLst>
            <a:gd name="adj" fmla="val 14341"/>
          </a:avLst>
        </a:prstGeom>
        <a:noFill/>
        <a:ln w="0">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JM" sz="1400" b="1"/>
            <a:t>No. of Patient by Age Group</a:t>
          </a:r>
        </a:p>
        <a:p>
          <a:pPr algn="l"/>
          <a:endParaRPr lang="en-JM" sz="1400" b="1"/>
        </a:p>
      </xdr:txBody>
    </xdr:sp>
    <xdr:clientData/>
  </xdr:twoCellAnchor>
  <xdr:twoCellAnchor>
    <xdr:from>
      <xdr:col>8</xdr:col>
      <xdr:colOff>589643</xdr:colOff>
      <xdr:row>0</xdr:row>
      <xdr:rowOff>134308</xdr:rowOff>
    </xdr:from>
    <xdr:to>
      <xdr:col>13</xdr:col>
      <xdr:colOff>65689</xdr:colOff>
      <xdr:row>11</xdr:row>
      <xdr:rowOff>128839</xdr:rowOff>
    </xdr:to>
    <xdr:graphicFrame macro="">
      <xdr:nvGraphicFramePr>
        <xdr:cNvPr id="50" name="Chart 49">
          <a:extLst>
            <a:ext uri="{FF2B5EF4-FFF2-40B4-BE49-F238E27FC236}">
              <a16:creationId xmlns:a16="http://schemas.microsoft.com/office/drawing/2014/main" id="{FEDE8455-F545-435A-B28C-78EB36FF9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44097</xdr:colOff>
      <xdr:row>10</xdr:row>
      <xdr:rowOff>13230</xdr:rowOff>
    </xdr:from>
    <xdr:to>
      <xdr:col>12</xdr:col>
      <xdr:colOff>198438</xdr:colOff>
      <xdr:row>11</xdr:row>
      <xdr:rowOff>0</xdr:rowOff>
    </xdr:to>
    <xdr:sp macro="" textlink="">
      <xdr:nvSpPr>
        <xdr:cNvPr id="51" name="Rectangle: Rounded Corners 50">
          <a:extLst>
            <a:ext uri="{FF2B5EF4-FFF2-40B4-BE49-F238E27FC236}">
              <a16:creationId xmlns:a16="http://schemas.microsoft.com/office/drawing/2014/main" id="{3CEF48B2-92EA-9502-48A3-A471CE2B634B}"/>
            </a:ext>
          </a:extLst>
        </xdr:cNvPr>
        <xdr:cNvSpPr/>
      </xdr:nvSpPr>
      <xdr:spPr>
        <a:xfrm>
          <a:off x="6129514" y="1865313"/>
          <a:ext cx="1371424" cy="171979"/>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JM" sz="1100"/>
        </a:p>
      </xdr:txBody>
    </xdr:sp>
    <xdr:clientData/>
  </xdr:twoCellAnchor>
  <xdr:twoCellAnchor>
    <xdr:from>
      <xdr:col>9</xdr:col>
      <xdr:colOff>326978</xdr:colOff>
      <xdr:row>11</xdr:row>
      <xdr:rowOff>101232</xdr:rowOff>
    </xdr:from>
    <xdr:to>
      <xdr:col>12</xdr:col>
      <xdr:colOff>407537</xdr:colOff>
      <xdr:row>13</xdr:row>
      <xdr:rowOff>64420</xdr:rowOff>
    </xdr:to>
    <xdr:sp macro="" textlink="">
      <xdr:nvSpPr>
        <xdr:cNvPr id="52" name="Rectangle: Rounded Corners 51">
          <a:extLst>
            <a:ext uri="{FF2B5EF4-FFF2-40B4-BE49-F238E27FC236}">
              <a16:creationId xmlns:a16="http://schemas.microsoft.com/office/drawing/2014/main" id="{3E511FD5-B57E-9839-86B5-78BEE083C796}"/>
            </a:ext>
          </a:extLst>
        </xdr:cNvPr>
        <xdr:cNvSpPr/>
      </xdr:nvSpPr>
      <xdr:spPr>
        <a:xfrm>
          <a:off x="5793500" y="2125870"/>
          <a:ext cx="1902733" cy="331304"/>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JM" sz="1100" b="1"/>
            <a:t>Patient Attend</a:t>
          </a:r>
          <a:r>
            <a:rPr lang="en-JM" sz="1100" b="1" baseline="0"/>
            <a:t>ed within Time</a:t>
          </a:r>
        </a:p>
        <a:p>
          <a:pPr algn="l"/>
          <a:endParaRPr lang="en-JM" sz="1100"/>
        </a:p>
      </xdr:txBody>
    </xdr:sp>
    <xdr:clientData/>
  </xdr:twoCellAnchor>
  <xdr:twoCellAnchor>
    <xdr:from>
      <xdr:col>13</xdr:col>
      <xdr:colOff>440170</xdr:colOff>
      <xdr:row>0</xdr:row>
      <xdr:rowOff>93808</xdr:rowOff>
    </xdr:from>
    <xdr:to>
      <xdr:col>17</xdr:col>
      <xdr:colOff>295852</xdr:colOff>
      <xdr:row>11</xdr:row>
      <xdr:rowOff>128840</xdr:rowOff>
    </xdr:to>
    <xdr:graphicFrame macro="">
      <xdr:nvGraphicFramePr>
        <xdr:cNvPr id="53" name="Chart 52">
          <a:extLst>
            <a:ext uri="{FF2B5EF4-FFF2-40B4-BE49-F238E27FC236}">
              <a16:creationId xmlns:a16="http://schemas.microsoft.com/office/drawing/2014/main" id="{2F98EA54-E1DA-427F-95FB-D2929FB0B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128841</xdr:colOff>
      <xdr:row>11</xdr:row>
      <xdr:rowOff>92028</xdr:rowOff>
    </xdr:from>
    <xdr:to>
      <xdr:col>17</xdr:col>
      <xdr:colOff>18406</xdr:colOff>
      <xdr:row>13</xdr:row>
      <xdr:rowOff>18405</xdr:rowOff>
    </xdr:to>
    <xdr:sp macro="" textlink="">
      <xdr:nvSpPr>
        <xdr:cNvPr id="54" name="Rectangle: Rounded Corners 53">
          <a:extLst>
            <a:ext uri="{FF2B5EF4-FFF2-40B4-BE49-F238E27FC236}">
              <a16:creationId xmlns:a16="http://schemas.microsoft.com/office/drawing/2014/main" id="{C24761F6-6A8C-21AD-C95A-8E7F3E9CAECD}"/>
            </a:ext>
          </a:extLst>
        </xdr:cNvPr>
        <xdr:cNvSpPr/>
      </xdr:nvSpPr>
      <xdr:spPr>
        <a:xfrm>
          <a:off x="8632319" y="2116666"/>
          <a:ext cx="1711739" cy="2944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JM" sz="1100" b="1">
              <a:solidFill>
                <a:schemeClr val="tx1"/>
              </a:solidFill>
            </a:rPr>
            <a:t>No. of Patient by </a:t>
          </a:r>
          <a:r>
            <a:rPr lang="en-JM" sz="1200" b="1">
              <a:solidFill>
                <a:schemeClr val="tx1"/>
              </a:solidFill>
            </a:rPr>
            <a:t>Gender</a:t>
          </a:r>
          <a:endParaRPr lang="en-JM" sz="1100" b="1">
            <a:solidFill>
              <a:schemeClr val="tx1"/>
            </a:solidFill>
          </a:endParaRPr>
        </a:p>
        <a:p>
          <a:pPr algn="l"/>
          <a:endParaRPr lang="en-JM" sz="1200" b="1">
            <a:solidFill>
              <a:schemeClr val="tx1"/>
            </a:solidFill>
          </a:endParaRPr>
        </a:p>
      </xdr:txBody>
    </xdr:sp>
    <xdr:clientData/>
  </xdr:twoCellAnchor>
  <xdr:twoCellAnchor>
    <xdr:from>
      <xdr:col>9</xdr:col>
      <xdr:colOff>54996</xdr:colOff>
      <xdr:row>16</xdr:row>
      <xdr:rowOff>27607</xdr:rowOff>
    </xdr:from>
    <xdr:to>
      <xdr:col>17</xdr:col>
      <xdr:colOff>257682</xdr:colOff>
      <xdr:row>27</xdr:row>
      <xdr:rowOff>113095</xdr:rowOff>
    </xdr:to>
    <xdr:graphicFrame macro="">
      <xdr:nvGraphicFramePr>
        <xdr:cNvPr id="55" name="Chart 54">
          <a:extLst>
            <a:ext uri="{FF2B5EF4-FFF2-40B4-BE49-F238E27FC236}">
              <a16:creationId xmlns:a16="http://schemas.microsoft.com/office/drawing/2014/main" id="{61DB6378-5ED8-414A-875C-C36191C7F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351928</xdr:colOff>
      <xdr:row>27</xdr:row>
      <xdr:rowOff>156449</xdr:rowOff>
    </xdr:from>
    <xdr:to>
      <xdr:col>16</xdr:col>
      <xdr:colOff>239275</xdr:colOff>
      <xdr:row>29</xdr:row>
      <xdr:rowOff>73622</xdr:rowOff>
    </xdr:to>
    <xdr:sp macro="" textlink="">
      <xdr:nvSpPr>
        <xdr:cNvPr id="56" name="Rectangle: Rounded Corners 55">
          <a:extLst>
            <a:ext uri="{FF2B5EF4-FFF2-40B4-BE49-F238E27FC236}">
              <a16:creationId xmlns:a16="http://schemas.microsoft.com/office/drawing/2014/main" id="{35DB1BAD-5C7E-7A86-C35D-578B0C520696}"/>
            </a:ext>
          </a:extLst>
        </xdr:cNvPr>
        <xdr:cNvSpPr/>
      </xdr:nvSpPr>
      <xdr:spPr>
        <a:xfrm>
          <a:off x="7033232" y="5126014"/>
          <a:ext cx="2924304" cy="285289"/>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JM" sz="1200" b="1"/>
            <a:t>No.</a:t>
          </a:r>
          <a:r>
            <a:rPr lang="en-JM" sz="1200" b="1" baseline="0"/>
            <a:t> of Patient by Department Referal</a:t>
          </a:r>
        </a:p>
        <a:p>
          <a:pPr algn="l"/>
          <a:endParaRPr lang="en-JM" sz="1100"/>
        </a:p>
      </xdr:txBody>
    </xdr:sp>
    <xdr:clientData/>
  </xdr:twoCellAnchor>
  <xdr:twoCellAnchor editAs="oneCell">
    <xdr:from>
      <xdr:col>6</xdr:col>
      <xdr:colOff>47231</xdr:colOff>
      <xdr:row>1</xdr:row>
      <xdr:rowOff>183676</xdr:rowOff>
    </xdr:from>
    <xdr:to>
      <xdr:col>8</xdr:col>
      <xdr:colOff>262396</xdr:colOff>
      <xdr:row>4</xdr:row>
      <xdr:rowOff>41982</xdr:rowOff>
    </xdr:to>
    <mc:AlternateContent xmlns:mc="http://schemas.openxmlformats.org/markup-compatibility/2006" xmlns:a14="http://schemas.microsoft.com/office/drawing/2010/main">
      <mc:Choice Requires="a14">
        <xdr:graphicFrame macro="">
          <xdr:nvGraphicFramePr>
            <xdr:cNvPr id="57" name="Date (Year)">
              <a:extLst>
                <a:ext uri="{FF2B5EF4-FFF2-40B4-BE49-F238E27FC236}">
                  <a16:creationId xmlns:a16="http://schemas.microsoft.com/office/drawing/2014/main" id="{32596C1E-7E63-41F4-90B1-458F4FE2670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34328" y="368031"/>
              <a:ext cx="1444197" cy="411370"/>
            </a:xfrm>
            <a:prstGeom prst="rect">
              <a:avLst/>
            </a:prstGeom>
            <a:solidFill>
              <a:prstClr val="white"/>
            </a:solidFill>
            <a:ln w="1">
              <a:solidFill>
                <a:prstClr val="green"/>
              </a:solidFill>
            </a:ln>
          </xdr:spPr>
          <xdr:txBody>
            <a:bodyPr vertOverflow="clip" horzOverflow="clip"/>
            <a:lstStyle/>
            <a:p>
              <a:r>
                <a:rPr lang="en-J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356859</xdr:colOff>
      <xdr:row>0</xdr:row>
      <xdr:rowOff>89215</xdr:rowOff>
    </xdr:from>
    <xdr:to>
      <xdr:col>8</xdr:col>
      <xdr:colOff>52479</xdr:colOff>
      <xdr:row>2</xdr:row>
      <xdr:rowOff>5248</xdr:rowOff>
    </xdr:to>
    <xdr:sp macro="" textlink="">
      <xdr:nvSpPr>
        <xdr:cNvPr id="59" name="Rectangle: Rounded Corners 58">
          <a:extLst>
            <a:ext uri="{FF2B5EF4-FFF2-40B4-BE49-F238E27FC236}">
              <a16:creationId xmlns:a16="http://schemas.microsoft.com/office/drawing/2014/main" id="{F6869505-EEDC-CC3E-9165-12834447CEFE}"/>
            </a:ext>
          </a:extLst>
        </xdr:cNvPr>
        <xdr:cNvSpPr/>
      </xdr:nvSpPr>
      <xdr:spPr>
        <a:xfrm>
          <a:off x="4009421" y="89215"/>
          <a:ext cx="913141" cy="283388"/>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JM" sz="1100" b="1"/>
            <a:t>Select</a:t>
          </a:r>
          <a:r>
            <a:rPr lang="en-JM" sz="1100" baseline="0"/>
            <a:t> </a:t>
          </a:r>
          <a:r>
            <a:rPr lang="en-JM" sz="1100" b="1" baseline="0"/>
            <a:t>Year</a:t>
          </a:r>
          <a:endParaRPr lang="en-JM" sz="1100" b="1"/>
        </a:p>
        <a:p>
          <a:pPr algn="l"/>
          <a:endParaRPr lang="en-JM"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450850</xdr:colOff>
      <xdr:row>1</xdr:row>
      <xdr:rowOff>88900</xdr:rowOff>
    </xdr:from>
    <xdr:to>
      <xdr:col>14</xdr:col>
      <xdr:colOff>488950</xdr:colOff>
      <xdr:row>17</xdr:row>
      <xdr:rowOff>152400</xdr:rowOff>
    </xdr:to>
    <xdr:graphicFrame macro="">
      <xdr:nvGraphicFramePr>
        <xdr:cNvPr id="2" name="Chart 1">
          <a:extLst>
            <a:ext uri="{FF2B5EF4-FFF2-40B4-BE49-F238E27FC236}">
              <a16:creationId xmlns:a16="http://schemas.microsoft.com/office/drawing/2014/main" id="{F7154C28-E47B-49CD-A2AA-5753C88BB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565150</xdr:colOff>
      <xdr:row>1</xdr:row>
      <xdr:rowOff>76200</xdr:rowOff>
    </xdr:from>
    <xdr:to>
      <xdr:col>14</xdr:col>
      <xdr:colOff>463550</xdr:colOff>
      <xdr:row>4</xdr:row>
      <xdr:rowOff>31750</xdr:rowOff>
    </xdr:to>
    <xdr:pic>
      <xdr:nvPicPr>
        <xdr:cNvPr id="4" name="Graphic 3" descr="Work from home house with solid fill">
          <a:hlinkClick xmlns:r="http://schemas.openxmlformats.org/officeDocument/2006/relationships" r:id="rId2"/>
          <a:extLst>
            <a:ext uri="{FF2B5EF4-FFF2-40B4-BE49-F238E27FC236}">
              <a16:creationId xmlns:a16="http://schemas.microsoft.com/office/drawing/2014/main" id="{109B2E4A-9B0E-BE99-1711-E080B8ED00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489950" y="260350"/>
          <a:ext cx="508000" cy="50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226132</xdr:colOff>
      <xdr:row>3</xdr:row>
      <xdr:rowOff>70554</xdr:rowOff>
    </xdr:from>
    <xdr:to>
      <xdr:col>19</xdr:col>
      <xdr:colOff>467431</xdr:colOff>
      <xdr:row>23</xdr:row>
      <xdr:rowOff>132291</xdr:rowOff>
    </xdr:to>
    <xdr:graphicFrame macro="">
      <xdr:nvGraphicFramePr>
        <xdr:cNvPr id="2" name="Chart 1">
          <a:extLst>
            <a:ext uri="{FF2B5EF4-FFF2-40B4-BE49-F238E27FC236}">
              <a16:creationId xmlns:a16="http://schemas.microsoft.com/office/drawing/2014/main" id="{014AFF0C-DC97-4CEB-BC57-288C4E30F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264583</xdr:colOff>
      <xdr:row>3</xdr:row>
      <xdr:rowOff>176389</xdr:rowOff>
    </xdr:from>
    <xdr:to>
      <xdr:col>19</xdr:col>
      <xdr:colOff>264582</xdr:colOff>
      <xdr:row>7</xdr:row>
      <xdr:rowOff>44097</xdr:rowOff>
    </xdr:to>
    <xdr:pic>
      <xdr:nvPicPr>
        <xdr:cNvPr id="4" name="Graphic 3" descr="Work from home house with solid fill">
          <a:hlinkClick xmlns:r="http://schemas.openxmlformats.org/officeDocument/2006/relationships" r:id="rId2"/>
          <a:extLst>
            <a:ext uri="{FF2B5EF4-FFF2-40B4-BE49-F238E27FC236}">
              <a16:creationId xmlns:a16="http://schemas.microsoft.com/office/drawing/2014/main" id="{3BF576ED-3FF4-576C-F72B-C0D47A18DEB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218333" y="732014"/>
          <a:ext cx="608541" cy="608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120650</xdr:colOff>
      <xdr:row>0</xdr:row>
      <xdr:rowOff>107950</xdr:rowOff>
    </xdr:from>
    <xdr:to>
      <xdr:col>14</xdr:col>
      <xdr:colOff>247650</xdr:colOff>
      <xdr:row>19</xdr:row>
      <xdr:rowOff>120650</xdr:rowOff>
    </xdr:to>
    <xdr:graphicFrame macro="">
      <xdr:nvGraphicFramePr>
        <xdr:cNvPr id="2" name="Chart 1">
          <a:extLst>
            <a:ext uri="{FF2B5EF4-FFF2-40B4-BE49-F238E27FC236}">
              <a16:creationId xmlns:a16="http://schemas.microsoft.com/office/drawing/2014/main" id="{D49265BC-BB1D-4C81-84EF-B0725B626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0.88476</cdr:x>
      <cdr:y>0.02893</cdr:y>
    </cdr:from>
    <cdr:to>
      <cdr:x>0.9777</cdr:x>
      <cdr:y>0.20976</cdr:y>
    </cdr:to>
    <cdr:pic>
      <cdr:nvPicPr>
        <cdr:cNvPr id="3" name="Graphic 2" descr="Work from home 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D64A186-4508-6435-9A4F-736A65F224F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045200" y="101600"/>
          <a:ext cx="635000" cy="6350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268402774" createdVersion="5" refreshedVersion="8" minRefreshableVersion="3" recordCount="0" supportSubquery="1" supportAdvancedDrill="1" xr:uid="{92B30A68-DC08-4200-B59D-F3B4052DA280}">
  <cacheSource type="external" connectionId="3"/>
  <cacheFields count="4">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273726854" createdVersion="5" refreshedVersion="8" minRefreshableVersion="3" recordCount="0" supportSubquery="1" supportAdvancedDrill="1" xr:uid="{E2C24A6F-4122-49BB-A054-6D46BCCEEBA7}">
  <cacheSource type="external" connectionId="3"/>
  <cacheFields count="3">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276620372" createdVersion="5" refreshedVersion="8" minRefreshableVersion="3" recordCount="0" supportSubquery="1" supportAdvancedDrill="1" xr:uid="{2CB024B7-C32E-44B6-9FBD-80F2372A2020}">
  <cacheSource type="external" connectionId="3"/>
  <cacheFields count="3">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277314818" createdVersion="5" refreshedVersion="8" minRefreshableVersion="3" recordCount="0" supportSubquery="1" supportAdvancedDrill="1" xr:uid="{6936D4C0-9615-4F1D-B2E9-FAC3A557F56D}">
  <cacheSource type="external" connectionId="3"/>
  <cacheFields count="3">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278356481" createdVersion="5" refreshedVersion="8" minRefreshableVersion="3" recordCount="0" supportSubquery="1" supportAdvancedDrill="1" xr:uid="{1D6102C4-F889-47A6-A549-5BFDDA42A750}">
  <cacheSource type="external" connectionId="3"/>
  <cacheFields count="4">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28171296" createdVersion="5" refreshedVersion="8" minRefreshableVersion="3" recordCount="0" supportSubquery="1" supportAdvancedDrill="1" xr:uid="{4C16A65C-F22E-4A9C-92DC-B118AD6E720B}">
  <cacheSource type="external" connectionId="3"/>
  <cacheFields count="4">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285532408" createdVersion="5" refreshedVersion="8" minRefreshableVersion="3" recordCount="0" supportSubquery="1" supportAdvancedDrill="1" xr:uid="{8EF6BB24-0516-433A-92EB-F3693682C907}">
  <cacheSource type="external" connectionId="3"/>
  <cacheFields count="5">
    <cacheField name="[Calendar 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288888888" createdVersion="5" refreshedVersion="8" minRefreshableVersion="3" recordCount="0" supportSubquery="1" supportAdvancedDrill="1" xr:uid="{6F6BAF9A-20A2-4DD5-9BB9-81A12F097E63}">
  <cacheSource type="external" connectionId="3"/>
  <cacheFields count="4">
    <cacheField name="[Calenda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293865737" createdVersion="5" refreshedVersion="8" minRefreshableVersion="3" recordCount="0" supportSubquery="1" supportAdvancedDrill="1" xr:uid="{5C0A98E5-9C45-4C42-BA5D-E1756976D4F5}">
  <cacheSource type="external" connectionId="3"/>
  <cacheFields count="4">
    <cacheField name="[Calenda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1"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296990739" createdVersion="5" refreshedVersion="8" minRefreshableVersion="3" recordCount="0" supportSubquery="1" supportAdvancedDrill="1" xr:uid="{36036DD9-474F-4089-8D71-C56A48557912}">
  <cacheSource type="external" connectionId="3"/>
  <cacheFields count="4">
    <cacheField name="[Calenda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300115741" createdVersion="5" refreshedVersion="8" minRefreshableVersion="3" recordCount="0" supportSubquery="1" supportAdvancedDrill="1" xr:uid="{9D6F5D71-718A-49FE-81F1-1BCD0EF39857}">
  <cacheSource type="external" connectionId="3"/>
  <cacheFields count="4">
    <cacheField name="[Calenda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8930127315" createdVersion="5" refreshedVersion="8" minRefreshableVersion="3" recordCount="0" supportSubquery="1" supportAdvancedDrill="1" xr:uid="{A12266D5-25D4-4808-B2EB-82CFA18E3BBB}">
  <cacheSource type="external" connectionId="3"/>
  <cacheFields count="4">
    <cacheField name="[Calendar Table].[Date (Month)].[Date (Month)]" caption="Date (Month)" numFmtId="0" hierarchy="1" level="1">
      <sharedItems count="1">
        <s v="Jan"/>
      </sharedItems>
    </cacheField>
    <cacheField name="[Calendar 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 Table].[Date (Quarter)].[Date (Quarter)]" caption="Date (Quarter)" numFmtId="0" hierarchy="4" level="1">
      <sharedItems count="1">
        <s v="Qtr1"/>
      </sharedItems>
    </cacheField>
    <cacheField name="[Calendar Table].[Date (Year)].[Date (Year)]" caption="Date (Year)" numFmtId="0" hierarchy="3" level="1">
      <sharedItems count="1">
        <s v="2024"/>
      </sharedItems>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refreshedDate="46290.851301041665" createdVersion="3" refreshedVersion="8" minRefreshableVersion="3" recordCount="0" supportSubquery="1" supportAdvancedDrill="1" xr:uid="{C008A11B-A074-431B-8A66-E5175BAFEB8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308240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095F19-BCBB-49DD-A3B1-4BBF3360C475}" name="PivotTable2" cacheId="21" applyNumberFormats="0" applyBorderFormats="0" applyFontFormats="0" applyPatternFormats="0" applyAlignmentFormats="0" applyWidthHeightFormats="1" dataCaption="Values" tag="18ac3600-3401-44f3-83f7-f16976cee9d2"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
      <pivotArea outline="0" collapsedLevelsAreSubtotals="1" fieldPosition="0"/>
    </format>
  </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3F385B-BFD0-4489-9016-91EEFF28EC90}" name="PivotTable8" cacheId="33" applyNumberFormats="0" applyBorderFormats="0" applyFontFormats="0" applyPatternFormats="0" applyAlignmentFormats="0" applyWidthHeightFormats="1" dataCaption="Values" tag="8658e061-b398-491f-acff-8592f787a3f1" updatedVersion="8" minRefreshableVersion="3" itemPrintTitles="1" createdVersion="5" indent="0" outline="1" outlineData="1" multipleFieldFilters="0" chartFormat="26">
  <location ref="A17:C2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9">
      <pivotArea outline="0" collapsedLevelsAreSubtotals="1" fieldPosition="0"/>
    </format>
    <format dxfId="1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E60A0D-E41F-47E0-91F2-AC8F9DCEF48D}" name="PivotTable14" cacheId="48" applyNumberFormats="0" applyBorderFormats="0" applyFontFormats="0" applyPatternFormats="0" applyAlignmentFormats="0" applyWidthHeightFormats="1" dataCaption="Values" tag="2829902a-f2b8-4641-9a05-3fa0ffa0b92a" updatedVersion="8" minRefreshableVersion="3" itemPrintTitles="1" createdVersion="5" indent="0" outline="1" outlineData="1" multipleFieldFilters="0" chartFormat="41">
  <location ref="D48:D50"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21">
      <pivotArea grandRow="1" outline="0" collapsedLevelsAreSubtotals="1" fieldPosition="0"/>
    </format>
    <format dxfId="20">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7EFB30-0936-4E51-8044-F1ADD8E907E6}" name="PivotTable13" cacheId="45" applyNumberFormats="0" applyBorderFormats="0" applyFontFormats="0" applyPatternFormats="0" applyAlignmentFormats="0" applyWidthHeightFormats="1" dataCaption="Values" tag="dbe7f006-6b68-4a7a-b581-9c77469487b8" updatedVersion="8" minRefreshableVersion="3" itemPrintTitles="1" createdVersion="5" indent="0" outline="1" outlineData="1" multipleFieldFilters="0" chartFormat="41">
  <location ref="G40:H4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23">
      <pivotArea grandRow="1" outline="0" collapsedLevelsAreSubtotals="1" fieldPosition="0"/>
    </format>
    <format dxfId="22">
      <pivotArea outline="0" collapsedLevelsAreSubtotals="1" fieldPosition="0"/>
    </format>
  </formats>
  <chartFormats count="1">
    <chartFormat chart="4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282705-431E-48F0-AC3D-E884E39EB2E4}" name="PivotTable1" cacheId="18" applyNumberFormats="0" applyBorderFormats="0" applyFontFormats="0" applyPatternFormats="0" applyAlignmentFormats="0" applyWidthHeightFormats="1" dataCaption="Values" tag="e7796425-442f-4b23-96ad-2da0ca78eb98"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22B4C9-DB2D-4117-B8A3-457A4520C1C2}" name="PivotTable7" cacheId="30" applyNumberFormats="0" applyBorderFormats="0" applyFontFormats="0" applyPatternFormats="0" applyAlignmentFormats="0" applyWidthHeightFormats="1" dataCaption="Values" tag="2d1ea980-fcd6-46d6-8313-9edff9533a3d" updatedVersion="8" minRefreshableVersion="3" itemPrintTitles="1" createdVersion="5" indent="0" outline="1" outlineData="1" multipleFieldFilters="0" chartFormat="50">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1">
    <format dxfId="24">
      <pivotArea outline="0" collapsedLevelsAreSubtotals="1" fieldPosition="0"/>
    </format>
  </formats>
  <chartFormats count="2">
    <chartFormat chart="41" format="2"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9E7D58-CB7C-447C-A701-0D6D33FB81CE}" name="PivotTable12" cacheId="42" applyNumberFormats="0" applyBorderFormats="0" applyFontFormats="0" applyPatternFormats="0" applyAlignmentFormats="0" applyWidthHeightFormats="1" dataCaption="Values" tag="7241cb9d-d18d-4d2a-8615-1b409d928390" updatedVersion="8" minRefreshableVersion="3" itemPrintTitles="1" createdVersion="5" indent="0" outline="1" outlineData="1" multipleFieldFilters="0" chartFormat="36">
  <location ref="D40:E4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6">
      <pivotArea grandRow="1" outline="0" collapsedLevelsAreSubtotals="1" fieldPosition="0"/>
    </format>
    <format dxfId="25">
      <pivotArea outline="0" collapsedLevelsAreSubtotals="1" fieldPosition="0"/>
    </format>
  </formats>
  <chartFormats count="3">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1" count="1" selected="0">
            <x v="0"/>
          </reference>
        </references>
      </pivotArea>
    </chartFormat>
    <chartFormat chart="3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F083B2-BED0-4555-8757-71AC758CA37A}" name="PivotTable6" cacheId="27" applyNumberFormats="0" applyBorderFormats="0" applyFontFormats="0" applyPatternFormats="0" applyAlignmentFormats="0" applyWidthHeightFormats="1" dataCaption="Values" tag="6476fa89-946c-4a08-826c-c03acc3e8590" updatedVersion="8" minRefreshableVersion="3" itemPrintTitles="1" createdVersion="5" indent="0" outline="1" outlineData="1" multipleFieldFilters="0" chartFormat="50">
  <location ref="K4:L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27">
      <pivotArea outline="0" collapsedLevelsAreSubtotals="1" fieldPosition="0"/>
    </format>
  </formats>
  <chartFormats count="2">
    <chartFormat chart="41" format="2"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13190E-0515-40DD-9BD9-4418EE051643}" name="PivotTable4" cacheId="15" applyNumberFormats="0" applyBorderFormats="0" applyFontFormats="0" applyPatternFormats="0" applyAlignmentFormats="0" applyWidthHeightFormats="1" dataCaption="Values" tag="c2f4b8a5-d7f3-4ebe-a46b-5c09a50b9e3b" updatedVersion="8" minRefreshableVersion="3" itemPrintTitles="1" createdVersion="5" indent="0" outline="1" outlineData="1" multipleFieldFilters="0" chartFormat="40">
  <location ref="F4:G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2">
    <chartFormat chart="28" format="4"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630356-2A37-4408-8C4A-656139625996}" name="PivotTable11" cacheId="39" applyNumberFormats="0" applyBorderFormats="0" applyFontFormats="0" applyPatternFormats="0" applyAlignmentFormats="0" applyWidthHeightFormats="1" dataCaption="Values" tag="bf595780-9595-4963-840c-0bc1ae9f87fe" updatedVersion="8" minRefreshableVersion="3" itemPrintTitles="1" createdVersion="5" indent="0" outline="1" outlineData="1" multipleFieldFilters="0" chartFormat="31">
  <location ref="D28:E3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numFmtId="1"/>
  </dataFields>
  <formats count="2">
    <format dxfId="29">
      <pivotArea grandRow="1" outline="0" collapsedLevelsAreSubtotals="1" fieldPosition="0"/>
    </format>
    <format dxfId="28">
      <pivotArea outline="0" collapsedLevelsAreSubtotals="1" fieldPosition="0"/>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3F5577-C2C6-4ED9-86B2-31C3D97EF32E}" name="PivotTable3" cacheId="24" applyNumberFormats="0" applyBorderFormats="0" applyFontFormats="0" applyPatternFormats="0" applyAlignmentFormats="0" applyWidthHeightFormats="1" dataCaption="Values" tag="4037ac0f-d073-49aa-881b-dba71e17c29a"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0">
      <pivotArea outline="0" collapsedLevelsAreSubtotals="1" fieldPosition="0"/>
    </format>
  </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8B895A-7611-4DF0-97B6-B7EB1B84EADC}" name="PivotTable10" cacheId="36" applyNumberFormats="0" applyBorderFormats="0" applyFontFormats="0" applyPatternFormats="0" applyAlignmentFormats="0" applyWidthHeightFormats="1" dataCaption="Values" tag="04d40027-d8ab-4e2f-bd70-543c567dae33" updatedVersion="8" minRefreshableVersion="3" itemPrintTitles="1" createdVersion="5" indent="0" outline="1" outlineData="1" multipleFieldFilters="0" chartFormat="25">
  <location ref="A28:B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33">
      <pivotArea outline="0" collapsedLevelsAreSubtotals="1" fieldPosition="0"/>
    </format>
    <format dxfId="32">
      <pivotArea collapsedLevelsAreSubtotals="1" fieldPosition="0">
        <references count="1">
          <reference field="1" count="0"/>
        </references>
      </pivotArea>
    </format>
    <format dxfId="31">
      <pivotArea grandRow="1"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CA55CDC-1834-4624-A1AE-A670BB96251A}" sourceName="[Calendar Table].[Date (Month)]">
  <pivotTables>
    <pivotTable tabId="1" name="PivotTable4"/>
    <pivotTable tabId="1" name="PivotTable1"/>
    <pivotTable tabId="1" name="PivotTable2"/>
    <pivotTable tabId="1" name="PivotTable3"/>
    <pivotTable tabId="1" name="PivotTable6"/>
    <pivotTable tabId="1" name="PivotTable7"/>
    <pivotTable tabId="1" name="PivotTable8"/>
    <pivotTable tabId="1" name="PivotTable10"/>
    <pivotTable tabId="1" name="PivotTable11"/>
    <pivotTable tabId="1" name="PivotTable12"/>
    <pivotTable tabId="1" name="PivotTable13"/>
    <pivotTable tabId="1" name="PivotTable14"/>
  </pivotTables>
  <data>
    <olap pivotCacheId="1730824085">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t]" c="Sept"/>
              <i n="[Calendar Table].[Date (Month)].&amp;[Oct]" c="Oct"/>
              <i n="[Calendar Table].[Date (Month)].&amp;[Nov]" c="Nov"/>
              <i n="[Calendar Table].[Date (Month)].&amp;[Dec]" c="Dec"/>
            </range>
          </ranges>
        </level>
      </levels>
      <selections count="1">
        <selection n="[Calenda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9AC2F6C-BD59-4EBB-8DB1-332F2F280BED}" sourceName="[Calendar 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6"/>
    <pivotTable tabId="1" name="PivotTable7"/>
    <pivotTable tabId="1" name="PivotTable8"/>
  </pivotTables>
  <data>
    <olap pivotCacheId="1730824085">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C8971A9C-5925-4FD7-901A-1E3500D80ED8}" cache="Slicer_Date__Month" caption="Date (Month)" showCaption="0" level="1" style="My Style" rowHeight="251883"/>
  <slicer name="Date (Year)" xr10:uid="{227543A5-5003-475A-90AF-CEFCD30B8F76}" cache="Slicer_Date__Year" caption="Date (Year)" columnCount="2" showCaption="0" level="1" style="My Styl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F278BB7-B56B-4EE9-864F-EEBC4DF4B884}">
  <we:reference id="wa200010215" version="2.0.0.1" store="en-GB" storeType="OMEX"/>
  <we:alternateReferences>
    <we:reference id="wa200010215" version="2.0.0.1" store="wa200010215" storeType="OMEX"/>
  </we:alternateReferences>
  <we:properties>
    <we:property name="bps.codex_control.document_id" value="&quot;a2d41895-8ff4-46e3-95d4-f0a34d7142d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8D84-A90F-4AD1-B444-8B3842C6651A}">
  <dimension ref="A3:L50"/>
  <sheetViews>
    <sheetView topLeftCell="A12" zoomScale="96" workbookViewId="0">
      <selection activeCell="E24" sqref="E24"/>
    </sheetView>
  </sheetViews>
  <sheetFormatPr defaultRowHeight="14.5" x14ac:dyDescent="0.35"/>
  <cols>
    <col min="1" max="1" width="15.453125" customWidth="1"/>
    <col min="2" max="2" width="13.54296875" customWidth="1"/>
    <col min="3" max="3" width="15.1796875" customWidth="1"/>
    <col min="4" max="4" width="16.1796875" customWidth="1"/>
    <col min="5" max="5" width="24.26953125" customWidth="1"/>
    <col min="6" max="6" width="28.6328125" customWidth="1"/>
    <col min="7" max="7" width="25.90625" customWidth="1"/>
    <col min="8" max="8" width="14" customWidth="1"/>
    <col min="9" max="9" width="39.7265625" customWidth="1"/>
    <col min="10" max="10" width="23.6328125" customWidth="1"/>
    <col min="11" max="11" width="16.08984375" customWidth="1"/>
    <col min="12" max="12" width="25.81640625" customWidth="1"/>
  </cols>
  <sheetData>
    <row r="3" spans="1:12" x14ac:dyDescent="0.35">
      <c r="F3" t="s">
        <v>29</v>
      </c>
      <c r="H3" t="s">
        <v>30</v>
      </c>
      <c r="K3" t="s">
        <v>28</v>
      </c>
    </row>
    <row r="4" spans="1:12" x14ac:dyDescent="0.35">
      <c r="A4" t="s">
        <v>0</v>
      </c>
      <c r="F4" s="1" t="s">
        <v>5</v>
      </c>
      <c r="G4" t="s">
        <v>0</v>
      </c>
      <c r="H4" s="1" t="s">
        <v>5</v>
      </c>
      <c r="I4" t="s">
        <v>2</v>
      </c>
      <c r="K4" s="1" t="s">
        <v>5</v>
      </c>
      <c r="L4" t="s">
        <v>1</v>
      </c>
    </row>
    <row r="5" spans="1:12" x14ac:dyDescent="0.35">
      <c r="A5" s="13">
        <v>513</v>
      </c>
      <c r="F5" s="4" t="s">
        <v>42</v>
      </c>
      <c r="G5" s="13">
        <v>19</v>
      </c>
      <c r="H5" s="4" t="s">
        <v>42</v>
      </c>
      <c r="I5" s="2">
        <v>6.666666666666667</v>
      </c>
      <c r="K5" s="4" t="s">
        <v>42</v>
      </c>
      <c r="L5" s="2">
        <v>37.789473684210527</v>
      </c>
    </row>
    <row r="6" spans="1:12" x14ac:dyDescent="0.35">
      <c r="F6" s="4" t="s">
        <v>43</v>
      </c>
      <c r="G6" s="13">
        <v>14</v>
      </c>
      <c r="H6" s="4" t="s">
        <v>43</v>
      </c>
      <c r="I6" s="2">
        <v>3.5</v>
      </c>
      <c r="K6" s="4" t="s">
        <v>43</v>
      </c>
      <c r="L6" s="2">
        <v>38.214285714285715</v>
      </c>
    </row>
    <row r="7" spans="1:12" x14ac:dyDescent="0.35">
      <c r="F7" s="4" t="s">
        <v>44</v>
      </c>
      <c r="G7" s="13">
        <v>13</v>
      </c>
      <c r="H7" s="4" t="s">
        <v>44</v>
      </c>
      <c r="I7" s="2">
        <v>4.5</v>
      </c>
      <c r="K7" s="4" t="s">
        <v>44</v>
      </c>
      <c r="L7" s="2">
        <v>40.92307692307692</v>
      </c>
    </row>
    <row r="8" spans="1:12" x14ac:dyDescent="0.35">
      <c r="A8" t="s">
        <v>1</v>
      </c>
      <c r="F8" s="4" t="s">
        <v>45</v>
      </c>
      <c r="G8" s="13">
        <v>22</v>
      </c>
      <c r="H8" s="4" t="s">
        <v>45</v>
      </c>
      <c r="I8" s="2">
        <v>4.8</v>
      </c>
      <c r="K8" s="4" t="s">
        <v>45</v>
      </c>
      <c r="L8" s="2">
        <v>34.5</v>
      </c>
    </row>
    <row r="9" spans="1:12" x14ac:dyDescent="0.35">
      <c r="A9" s="2">
        <v>36.323586744639378</v>
      </c>
      <c r="F9" s="4" t="s">
        <v>46</v>
      </c>
      <c r="G9" s="13">
        <v>19</v>
      </c>
      <c r="H9" s="4" t="s">
        <v>46</v>
      </c>
      <c r="I9" s="2">
        <v>7.75</v>
      </c>
      <c r="K9" s="4" t="s">
        <v>46</v>
      </c>
      <c r="L9" s="2">
        <v>30.684210526315791</v>
      </c>
    </row>
    <row r="10" spans="1:12" x14ac:dyDescent="0.35">
      <c r="F10" s="4" t="s">
        <v>47</v>
      </c>
      <c r="G10" s="13">
        <v>15</v>
      </c>
      <c r="H10" s="4" t="s">
        <v>47</v>
      </c>
      <c r="I10" s="2">
        <v>6.2</v>
      </c>
      <c r="K10" s="4" t="s">
        <v>47</v>
      </c>
      <c r="L10" s="2">
        <v>37.666666666666664</v>
      </c>
    </row>
    <row r="11" spans="1:12" x14ac:dyDescent="0.35">
      <c r="A11" t="s">
        <v>2</v>
      </c>
      <c r="F11" s="4" t="s">
        <v>48</v>
      </c>
      <c r="G11" s="13">
        <v>12</v>
      </c>
      <c r="H11" s="4" t="s">
        <v>48</v>
      </c>
      <c r="I11" s="2">
        <v>3.75</v>
      </c>
      <c r="K11" s="4" t="s">
        <v>48</v>
      </c>
      <c r="L11" s="2">
        <v>36.083333333333336</v>
      </c>
    </row>
    <row r="12" spans="1:12" x14ac:dyDescent="0.35">
      <c r="A12" s="2">
        <v>4.9591836734693882</v>
      </c>
      <c r="F12" s="4" t="s">
        <v>49</v>
      </c>
      <c r="G12" s="13">
        <v>21</v>
      </c>
      <c r="H12" s="4" t="s">
        <v>49</v>
      </c>
      <c r="I12" s="2">
        <v>6.5</v>
      </c>
      <c r="K12" s="4" t="s">
        <v>49</v>
      </c>
      <c r="L12" s="2">
        <v>43.523809523809526</v>
      </c>
    </row>
    <row r="13" spans="1:12" x14ac:dyDescent="0.35">
      <c r="F13" s="4" t="s">
        <v>50</v>
      </c>
      <c r="G13" s="13">
        <v>12</v>
      </c>
      <c r="H13" s="4" t="s">
        <v>50</v>
      </c>
      <c r="I13" s="2">
        <v>3</v>
      </c>
      <c r="K13" s="4" t="s">
        <v>50</v>
      </c>
      <c r="L13" s="2">
        <v>29.5</v>
      </c>
    </row>
    <row r="14" spans="1:12" x14ac:dyDescent="0.35">
      <c r="C14" s="9"/>
      <c r="F14" s="4" t="s">
        <v>51</v>
      </c>
      <c r="G14" s="13">
        <v>13</v>
      </c>
      <c r="H14" s="4" t="s">
        <v>51</v>
      </c>
      <c r="I14" s="2">
        <v>4.5</v>
      </c>
      <c r="K14" s="4" t="s">
        <v>51</v>
      </c>
      <c r="L14" s="2">
        <v>38.07692307692308</v>
      </c>
    </row>
    <row r="15" spans="1:12" x14ac:dyDescent="0.35">
      <c r="F15" s="4" t="s">
        <v>52</v>
      </c>
      <c r="G15" s="13">
        <v>13</v>
      </c>
      <c r="H15" s="4" t="s">
        <v>52</v>
      </c>
      <c r="I15" s="2">
        <v>6</v>
      </c>
      <c r="K15" s="4" t="s">
        <v>52</v>
      </c>
      <c r="L15" s="2">
        <v>35.846153846153847</v>
      </c>
    </row>
    <row r="16" spans="1:12" x14ac:dyDescent="0.35">
      <c r="F16" s="4" t="s">
        <v>53</v>
      </c>
      <c r="G16" s="13">
        <v>16</v>
      </c>
      <c r="H16" s="4" t="s">
        <v>53</v>
      </c>
      <c r="I16" s="2">
        <v>5.2</v>
      </c>
      <c r="K16" s="4" t="s">
        <v>53</v>
      </c>
      <c r="L16" s="2">
        <v>32.625</v>
      </c>
    </row>
    <row r="17" spans="1:12" x14ac:dyDescent="0.35">
      <c r="A17" s="1" t="s">
        <v>5</v>
      </c>
      <c r="B17" t="s">
        <v>31</v>
      </c>
      <c r="C17" t="s">
        <v>32</v>
      </c>
      <c r="F17" s="4" t="s">
        <v>54</v>
      </c>
      <c r="G17" s="13">
        <v>20</v>
      </c>
      <c r="H17" s="4" t="s">
        <v>54</v>
      </c>
      <c r="I17" s="2">
        <v>4.4000000000000004</v>
      </c>
      <c r="K17" s="4" t="s">
        <v>54</v>
      </c>
      <c r="L17" s="2">
        <v>39.200000000000003</v>
      </c>
    </row>
    <row r="18" spans="1:12" x14ac:dyDescent="0.35">
      <c r="A18" s="4" t="s">
        <v>8</v>
      </c>
      <c r="B18" s="2">
        <v>269</v>
      </c>
      <c r="C18" s="8">
        <v>0.52436647173489281</v>
      </c>
      <c r="F18" s="4" t="s">
        <v>55</v>
      </c>
      <c r="G18" s="13">
        <v>25</v>
      </c>
      <c r="H18" s="4" t="s">
        <v>55</v>
      </c>
      <c r="I18" s="2">
        <v>3.4545454545454546</v>
      </c>
      <c r="K18" s="4" t="s">
        <v>55</v>
      </c>
      <c r="L18" s="2">
        <v>35.28</v>
      </c>
    </row>
    <row r="19" spans="1:12" x14ac:dyDescent="0.35">
      <c r="A19" s="4" t="s">
        <v>20</v>
      </c>
      <c r="B19" s="2">
        <v>244</v>
      </c>
      <c r="C19" s="8">
        <v>0.47563352826510719</v>
      </c>
      <c r="F19" s="4" t="s">
        <v>56</v>
      </c>
      <c r="G19" s="13">
        <v>20</v>
      </c>
      <c r="H19" s="4" t="s">
        <v>56</v>
      </c>
      <c r="I19" s="2">
        <v>4.4000000000000004</v>
      </c>
      <c r="K19" s="4" t="s">
        <v>56</v>
      </c>
      <c r="L19" s="2">
        <v>32.549999999999997</v>
      </c>
    </row>
    <row r="20" spans="1:12" x14ac:dyDescent="0.35">
      <c r="A20" s="4" t="s">
        <v>3</v>
      </c>
      <c r="B20" s="2">
        <v>513</v>
      </c>
      <c r="C20" s="8">
        <v>1</v>
      </c>
      <c r="F20" s="4" t="s">
        <v>57</v>
      </c>
      <c r="G20" s="13">
        <v>14</v>
      </c>
      <c r="H20" s="4" t="s">
        <v>57</v>
      </c>
      <c r="I20" s="2">
        <v>5.833333333333333</v>
      </c>
      <c r="K20" s="4" t="s">
        <v>57</v>
      </c>
      <c r="L20" s="2">
        <v>35.642857142857146</v>
      </c>
    </row>
    <row r="21" spans="1:12" x14ac:dyDescent="0.35">
      <c r="F21" s="4" t="s">
        <v>58</v>
      </c>
      <c r="G21" s="13">
        <v>17</v>
      </c>
      <c r="H21" s="4" t="s">
        <v>58</v>
      </c>
      <c r="I21" s="2">
        <v>4.4444444444444446</v>
      </c>
      <c r="K21" s="4" t="s">
        <v>58</v>
      </c>
      <c r="L21" s="2">
        <v>38.764705882352942</v>
      </c>
    </row>
    <row r="22" spans="1:12" x14ac:dyDescent="0.35">
      <c r="F22" s="4" t="s">
        <v>59</v>
      </c>
      <c r="G22" s="13">
        <v>20</v>
      </c>
      <c r="H22" s="4" t="s">
        <v>59</v>
      </c>
      <c r="I22" s="2">
        <v>5.333333333333333</v>
      </c>
      <c r="K22" s="4" t="s">
        <v>59</v>
      </c>
      <c r="L22" s="2">
        <v>39.9</v>
      </c>
    </row>
    <row r="23" spans="1:12" x14ac:dyDescent="0.35">
      <c r="A23" s="10" t="s">
        <v>33</v>
      </c>
      <c r="B23" s="10" t="s">
        <v>34</v>
      </c>
      <c r="C23" s="10" t="s">
        <v>35</v>
      </c>
      <c r="D23" s="10"/>
      <c r="F23" s="4" t="s">
        <v>60</v>
      </c>
      <c r="G23" s="13">
        <v>10</v>
      </c>
      <c r="H23" s="4" t="s">
        <v>60</v>
      </c>
      <c r="I23" s="2">
        <v>5.333333333333333</v>
      </c>
      <c r="K23" s="4" t="s">
        <v>60</v>
      </c>
      <c r="L23" s="2">
        <v>41.6</v>
      </c>
    </row>
    <row r="24" spans="1:12" ht="14.75" customHeight="1" x14ac:dyDescent="0.35">
      <c r="A24" s="5" t="str">
        <f>A19</f>
        <v>Not Admitted</v>
      </c>
      <c r="B24" s="5">
        <f>GETPIVOTDATA("[Measures].[Count of Patient Admission Flag]",$A$17,"[Hospital Emergency Room Data].[Patient Admission Flag]","[Hospital Emergency Room Data].[Patient Admission Flag].&amp;[Not Admitted]")</f>
        <v>244</v>
      </c>
      <c r="C24" s="11">
        <f>GETPIVOTDATA("[__Xl2].[Measures].[Count of Patient Admission Flag]",$A$17,"[Hospital Emergency Room Data].[Patient Admission Flag]","[Hospital Emergency Room Data].[Patient Admission Flag].&amp;[Not Admitted]")</f>
        <v>0.47563352826510719</v>
      </c>
      <c r="D24" s="5"/>
      <c r="F24" s="4" t="s">
        <v>61</v>
      </c>
      <c r="G24" s="13">
        <v>17</v>
      </c>
      <c r="H24" s="4" t="s">
        <v>61</v>
      </c>
      <c r="I24" s="2">
        <v>5.5714285714285712</v>
      </c>
      <c r="K24" s="4" t="s">
        <v>61</v>
      </c>
      <c r="L24" s="2">
        <v>39.470588235294116</v>
      </c>
    </row>
    <row r="25" spans="1:12" x14ac:dyDescent="0.35">
      <c r="A25" s="5" t="str">
        <f>A18</f>
        <v>Admitted</v>
      </c>
      <c r="B25" s="5">
        <f>GETPIVOTDATA("[Measures].[Count of Patient Admission Flag]",$A$17,"[Hospital Emergency Room Data].[Patient Admission Flag]","[Hospital Emergency Room Data].[Patient Admission Flag].&amp;[Admitted]")</f>
        <v>269</v>
      </c>
      <c r="C25" s="11">
        <f>GETPIVOTDATA("[__Xl2].[Measures].[Count of Patient Admission Flag]",$A$17,"[Hospital Emergency Room Data].[Patient Admission Flag]","[Hospital Emergency Room Data].[Patient Admission Flag].&amp;[Admitted]")</f>
        <v>0.52436647173489281</v>
      </c>
      <c r="D25" s="5"/>
      <c r="F25" s="4" t="s">
        <v>62</v>
      </c>
      <c r="G25" s="13">
        <v>15</v>
      </c>
      <c r="H25" s="4" t="s">
        <v>62</v>
      </c>
      <c r="I25" s="2">
        <v>5</v>
      </c>
      <c r="K25" s="4" t="s">
        <v>62</v>
      </c>
      <c r="L25" s="2">
        <v>27.733333333333334</v>
      </c>
    </row>
    <row r="26" spans="1:12" x14ac:dyDescent="0.35">
      <c r="F26" s="4" t="s">
        <v>63</v>
      </c>
      <c r="G26" s="13">
        <v>16</v>
      </c>
      <c r="H26" s="4" t="s">
        <v>63</v>
      </c>
      <c r="I26" s="2">
        <v>6.4</v>
      </c>
      <c r="K26" s="4" t="s">
        <v>63</v>
      </c>
      <c r="L26" s="2">
        <v>36.875</v>
      </c>
    </row>
    <row r="27" spans="1:12" x14ac:dyDescent="0.35">
      <c r="A27" t="s">
        <v>37</v>
      </c>
      <c r="D27" t="s">
        <v>39</v>
      </c>
      <c r="F27" s="4" t="s">
        <v>64</v>
      </c>
      <c r="G27" s="13">
        <v>18</v>
      </c>
      <c r="H27" s="4" t="s">
        <v>64</v>
      </c>
      <c r="I27" s="2">
        <v>5.333333333333333</v>
      </c>
      <c r="K27" s="4" t="s">
        <v>64</v>
      </c>
      <c r="L27" s="2">
        <v>40.333333333333336</v>
      </c>
    </row>
    <row r="28" spans="1:12" x14ac:dyDescent="0.35">
      <c r="A28" s="1" t="s">
        <v>5</v>
      </c>
      <c r="B28" t="s">
        <v>36</v>
      </c>
      <c r="D28" s="1" t="s">
        <v>5</v>
      </c>
      <c r="E28" t="s">
        <v>38</v>
      </c>
      <c r="F28" s="4" t="s">
        <v>65</v>
      </c>
      <c r="G28" s="13">
        <v>16</v>
      </c>
      <c r="H28" s="4" t="s">
        <v>65</v>
      </c>
      <c r="I28" s="2">
        <v>3.75</v>
      </c>
      <c r="K28" s="4" t="s">
        <v>65</v>
      </c>
      <c r="L28" s="2">
        <v>36.5</v>
      </c>
    </row>
    <row r="29" spans="1:12" x14ac:dyDescent="0.35">
      <c r="A29" s="4" t="s">
        <v>16</v>
      </c>
      <c r="B29" s="12">
        <v>76</v>
      </c>
      <c r="D29" s="4" t="s">
        <v>12</v>
      </c>
      <c r="E29" s="12">
        <v>316</v>
      </c>
      <c r="F29" s="4" t="s">
        <v>66</v>
      </c>
      <c r="G29" s="13">
        <v>15</v>
      </c>
      <c r="H29" s="4" t="s">
        <v>66</v>
      </c>
      <c r="I29" s="2">
        <v>6.333333333333333</v>
      </c>
      <c r="K29" s="4" t="s">
        <v>66</v>
      </c>
      <c r="L29" s="2">
        <v>32.866666666666667</v>
      </c>
    </row>
    <row r="30" spans="1:12" x14ac:dyDescent="0.35">
      <c r="A30" s="4" t="s">
        <v>11</v>
      </c>
      <c r="B30" s="12">
        <v>69</v>
      </c>
      <c r="D30" s="4" t="s">
        <v>10</v>
      </c>
      <c r="E30" s="12">
        <v>197</v>
      </c>
      <c r="F30" s="4" t="s">
        <v>67</v>
      </c>
      <c r="G30" s="13">
        <v>14</v>
      </c>
      <c r="H30" s="4" t="s">
        <v>67</v>
      </c>
      <c r="I30" s="2">
        <v>10</v>
      </c>
      <c r="K30" s="4" t="s">
        <v>67</v>
      </c>
      <c r="L30" s="2">
        <v>36.642857142857146</v>
      </c>
    </row>
    <row r="31" spans="1:12" x14ac:dyDescent="0.35">
      <c r="A31" s="4" t="s">
        <v>17</v>
      </c>
      <c r="B31" s="12">
        <v>64</v>
      </c>
      <c r="D31" s="4" t="s">
        <v>3</v>
      </c>
      <c r="E31" s="12">
        <v>513</v>
      </c>
      <c r="F31" s="4" t="s">
        <v>68</v>
      </c>
      <c r="G31" s="13">
        <v>16</v>
      </c>
      <c r="H31" s="4" t="s">
        <v>68</v>
      </c>
      <c r="I31" s="2">
        <v>5</v>
      </c>
      <c r="K31" s="4" t="s">
        <v>68</v>
      </c>
      <c r="L31" s="2">
        <v>36.5625</v>
      </c>
    </row>
    <row r="32" spans="1:12" x14ac:dyDescent="0.35">
      <c r="A32" s="4" t="s">
        <v>18</v>
      </c>
      <c r="B32" s="12">
        <v>59</v>
      </c>
      <c r="F32" s="4" t="s">
        <v>69</v>
      </c>
      <c r="G32" s="13">
        <v>20</v>
      </c>
      <c r="H32" s="4" t="s">
        <v>69</v>
      </c>
      <c r="I32" s="2">
        <v>5.333333333333333</v>
      </c>
      <c r="K32" s="4" t="s">
        <v>69</v>
      </c>
      <c r="L32" s="2">
        <v>32.15</v>
      </c>
    </row>
    <row r="33" spans="1:12" x14ac:dyDescent="0.35">
      <c r="A33" s="4" t="s">
        <v>14</v>
      </c>
      <c r="B33" s="12">
        <v>58</v>
      </c>
      <c r="F33" s="4" t="s">
        <v>70</v>
      </c>
      <c r="G33" s="13">
        <v>19</v>
      </c>
      <c r="H33" s="4" t="s">
        <v>70</v>
      </c>
      <c r="I33" s="2">
        <v>4.8</v>
      </c>
      <c r="K33" s="4" t="s">
        <v>70</v>
      </c>
      <c r="L33" s="2">
        <v>38.368421052631582</v>
      </c>
    </row>
    <row r="34" spans="1:12" x14ac:dyDescent="0.35">
      <c r="A34" s="4" t="s">
        <v>15</v>
      </c>
      <c r="B34" s="12">
        <v>66</v>
      </c>
      <c r="F34" s="4" t="s">
        <v>71</v>
      </c>
      <c r="G34" s="13">
        <v>14</v>
      </c>
      <c r="H34" s="4" t="s">
        <v>71</v>
      </c>
      <c r="I34" s="2">
        <v>5</v>
      </c>
      <c r="K34" s="4" t="s">
        <v>71</v>
      </c>
      <c r="L34" s="2">
        <v>33.071428571428569</v>
      </c>
    </row>
    <row r="35" spans="1:12" x14ac:dyDescent="0.35">
      <c r="A35" s="4" t="s">
        <v>9</v>
      </c>
      <c r="B35" s="12">
        <v>67</v>
      </c>
      <c r="F35" s="4" t="s">
        <v>72</v>
      </c>
      <c r="G35" s="13">
        <v>18</v>
      </c>
      <c r="H35" s="4" t="s">
        <v>72</v>
      </c>
      <c r="I35" s="2">
        <v>1.4</v>
      </c>
      <c r="K35" s="4" t="s">
        <v>72</v>
      </c>
      <c r="L35" s="2">
        <v>36.444444444444443</v>
      </c>
    </row>
    <row r="36" spans="1:12" x14ac:dyDescent="0.35">
      <c r="A36" s="4" t="s">
        <v>13</v>
      </c>
      <c r="B36" s="12">
        <v>54</v>
      </c>
      <c r="F36" s="4" t="s">
        <v>3</v>
      </c>
      <c r="G36" s="13">
        <v>513</v>
      </c>
      <c r="H36" s="4" t="s">
        <v>3</v>
      </c>
      <c r="I36" s="2">
        <v>4.9591836734693882</v>
      </c>
      <c r="K36" s="4" t="s">
        <v>3</v>
      </c>
      <c r="L36" s="2">
        <v>36.323586744639378</v>
      </c>
    </row>
    <row r="37" spans="1:12" x14ac:dyDescent="0.35">
      <c r="A37" s="4" t="s">
        <v>3</v>
      </c>
      <c r="B37" s="12">
        <v>513</v>
      </c>
    </row>
    <row r="40" spans="1:12" x14ac:dyDescent="0.35">
      <c r="D40" s="1" t="s">
        <v>5</v>
      </c>
      <c r="E40" t="s">
        <v>40</v>
      </c>
      <c r="G40" s="1" t="s">
        <v>5</v>
      </c>
      <c r="H40" t="s">
        <v>41</v>
      </c>
    </row>
    <row r="41" spans="1:12" x14ac:dyDescent="0.35">
      <c r="D41" s="4" t="s">
        <v>19</v>
      </c>
      <c r="E41" s="12">
        <v>241</v>
      </c>
      <c r="G41" s="4" t="s">
        <v>26</v>
      </c>
      <c r="H41" s="12">
        <v>4</v>
      </c>
    </row>
    <row r="42" spans="1:12" x14ac:dyDescent="0.35">
      <c r="D42" s="4" t="s">
        <v>6</v>
      </c>
      <c r="E42" s="12">
        <v>272</v>
      </c>
      <c r="G42" s="4" t="s">
        <v>27</v>
      </c>
      <c r="H42" s="12">
        <v>5</v>
      </c>
    </row>
    <row r="43" spans="1:12" x14ac:dyDescent="0.35">
      <c r="D43" s="4" t="s">
        <v>3</v>
      </c>
      <c r="E43" s="12">
        <v>513</v>
      </c>
      <c r="G43" s="4" t="s">
        <v>25</v>
      </c>
      <c r="H43" s="12">
        <v>9</v>
      </c>
    </row>
    <row r="44" spans="1:12" x14ac:dyDescent="0.35">
      <c r="G44" s="4" t="s">
        <v>23</v>
      </c>
      <c r="H44" s="12">
        <v>14</v>
      </c>
    </row>
    <row r="45" spans="1:12" x14ac:dyDescent="0.35">
      <c r="G45" s="4" t="s">
        <v>24</v>
      </c>
      <c r="H45" s="12">
        <v>14</v>
      </c>
    </row>
    <row r="46" spans="1:12" x14ac:dyDescent="0.35">
      <c r="G46" s="4" t="s">
        <v>22</v>
      </c>
      <c r="H46" s="12">
        <v>65</v>
      </c>
    </row>
    <row r="47" spans="1:12" x14ac:dyDescent="0.35">
      <c r="G47" s="4" t="s">
        <v>21</v>
      </c>
      <c r="H47" s="12">
        <v>103</v>
      </c>
    </row>
    <row r="48" spans="1:12" x14ac:dyDescent="0.35">
      <c r="D48" s="1" t="s">
        <v>5</v>
      </c>
      <c r="G48" s="4" t="s">
        <v>7</v>
      </c>
      <c r="H48" s="12">
        <v>299</v>
      </c>
    </row>
    <row r="49" spans="4:8" x14ac:dyDescent="0.35">
      <c r="D49" s="4" t="s">
        <v>4</v>
      </c>
      <c r="G49" s="4" t="s">
        <v>3</v>
      </c>
      <c r="H49" s="12">
        <v>513</v>
      </c>
    </row>
    <row r="50" spans="4:8" x14ac:dyDescent="0.35">
      <c r="D50" s="4" t="s">
        <v>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FB43-927A-473D-9336-85EA4EC818CE}">
  <dimension ref="A1:R30"/>
  <sheetViews>
    <sheetView tabSelected="1" zoomScale="62" workbookViewId="0">
      <selection activeCell="Y16" sqref="Y16"/>
    </sheetView>
  </sheetViews>
  <sheetFormatPr defaultRowHeight="14.5" x14ac:dyDescent="0.35"/>
  <sheetData>
    <row r="1" spans="1:18" x14ac:dyDescent="0.35">
      <c r="A1" s="3"/>
      <c r="B1" s="3"/>
      <c r="C1" s="3"/>
      <c r="D1" s="3"/>
      <c r="E1" s="3"/>
      <c r="F1" s="3"/>
      <c r="G1" s="3"/>
      <c r="H1" s="3"/>
      <c r="I1" s="3"/>
      <c r="J1" s="3"/>
      <c r="K1" s="3"/>
      <c r="L1" s="3"/>
      <c r="M1" s="3"/>
      <c r="N1" s="3"/>
      <c r="O1" s="3"/>
      <c r="P1" s="3"/>
      <c r="Q1" s="3"/>
      <c r="R1" s="3"/>
    </row>
    <row r="2" spans="1:18" x14ac:dyDescent="0.35">
      <c r="A2" s="3"/>
      <c r="B2" s="3"/>
      <c r="C2" s="3"/>
      <c r="D2" s="3"/>
      <c r="E2" s="3"/>
      <c r="F2" s="3"/>
      <c r="G2" s="3"/>
      <c r="H2" s="3"/>
      <c r="I2" s="3"/>
      <c r="J2" s="3"/>
      <c r="K2" s="3"/>
      <c r="L2" s="3"/>
      <c r="M2" s="3"/>
      <c r="N2" s="3"/>
      <c r="O2" s="3"/>
      <c r="P2" s="3"/>
      <c r="Q2" s="3"/>
      <c r="R2" s="3"/>
    </row>
    <row r="3" spans="1:18" x14ac:dyDescent="0.35">
      <c r="A3" s="3"/>
      <c r="B3" s="3"/>
      <c r="C3" s="3"/>
      <c r="D3" s="3"/>
      <c r="E3" s="3"/>
      <c r="F3" s="3"/>
      <c r="G3" s="3"/>
      <c r="H3" s="3"/>
      <c r="I3" s="3"/>
      <c r="J3" s="3"/>
      <c r="K3" s="3"/>
      <c r="L3" s="3"/>
      <c r="M3" s="3"/>
      <c r="N3" s="3"/>
      <c r="O3" s="3"/>
      <c r="P3" s="3"/>
      <c r="Q3" s="3"/>
      <c r="R3" s="3"/>
    </row>
    <row r="4" spans="1:18" x14ac:dyDescent="0.35">
      <c r="A4" s="3"/>
      <c r="B4" s="3"/>
      <c r="C4" s="3"/>
      <c r="D4" s="3"/>
      <c r="E4" s="3"/>
      <c r="F4" s="3"/>
      <c r="G4" s="3"/>
      <c r="H4" s="3"/>
      <c r="I4" s="3"/>
      <c r="J4" s="3"/>
      <c r="K4" s="3"/>
      <c r="L4" s="3"/>
      <c r="M4" s="3"/>
      <c r="N4" s="3"/>
      <c r="O4" s="3"/>
      <c r="P4" s="3"/>
      <c r="Q4" s="3"/>
      <c r="R4" s="3"/>
    </row>
    <row r="5" spans="1:18" x14ac:dyDescent="0.35">
      <c r="A5" s="3"/>
      <c r="B5" s="3"/>
      <c r="C5" s="3"/>
      <c r="D5" s="3"/>
      <c r="E5" s="3"/>
      <c r="F5" s="3"/>
      <c r="G5" s="3"/>
      <c r="H5" s="3"/>
      <c r="I5" s="3"/>
      <c r="J5" s="3"/>
      <c r="K5" s="3"/>
      <c r="L5" s="3"/>
      <c r="M5" s="3"/>
      <c r="N5" s="3"/>
      <c r="O5" s="3"/>
      <c r="P5" s="3"/>
      <c r="Q5" s="3"/>
      <c r="R5" s="3"/>
    </row>
    <row r="6" spans="1:18" x14ac:dyDescent="0.35">
      <c r="A6" s="3"/>
      <c r="B6" s="3"/>
      <c r="C6" s="3"/>
      <c r="D6" s="3"/>
      <c r="E6" s="3"/>
      <c r="F6" s="3"/>
      <c r="G6" s="3"/>
      <c r="H6" s="3"/>
      <c r="I6" s="3"/>
      <c r="J6" s="3"/>
      <c r="K6" s="3"/>
      <c r="L6" s="3"/>
      <c r="M6" s="3"/>
      <c r="N6" s="3"/>
      <c r="O6" s="3"/>
      <c r="P6" s="3"/>
      <c r="Q6" s="3"/>
      <c r="R6" s="3"/>
    </row>
    <row r="7" spans="1:18" x14ac:dyDescent="0.35">
      <c r="A7" s="3"/>
      <c r="B7" s="3"/>
      <c r="C7" s="3"/>
      <c r="D7" s="3"/>
      <c r="E7" s="3"/>
      <c r="F7" s="3"/>
      <c r="G7" s="3"/>
      <c r="H7" s="3"/>
      <c r="I7" s="3"/>
      <c r="J7" s="3"/>
      <c r="K7" s="3"/>
      <c r="L7" s="3"/>
      <c r="M7" s="3"/>
      <c r="N7" s="3"/>
      <c r="O7" s="3"/>
      <c r="P7" s="3"/>
      <c r="Q7" s="3"/>
      <c r="R7" s="3"/>
    </row>
    <row r="8" spans="1:18" x14ac:dyDescent="0.35">
      <c r="A8" s="3"/>
      <c r="B8" s="3"/>
      <c r="C8" s="3"/>
      <c r="D8" s="3"/>
      <c r="E8" s="3"/>
      <c r="F8" s="3"/>
      <c r="G8" s="3"/>
      <c r="H8" s="3"/>
      <c r="I8" s="3"/>
      <c r="J8" s="3"/>
      <c r="K8" s="3"/>
      <c r="L8" s="3"/>
      <c r="M8" s="3"/>
      <c r="N8" s="3"/>
      <c r="O8" s="3"/>
      <c r="P8" s="3"/>
      <c r="Q8" s="3"/>
      <c r="R8" s="3"/>
    </row>
    <row r="9" spans="1:18" x14ac:dyDescent="0.35">
      <c r="A9" s="3"/>
      <c r="B9" s="3"/>
      <c r="C9" s="3"/>
      <c r="D9" s="3"/>
      <c r="E9" s="3"/>
      <c r="F9" s="3"/>
      <c r="G9" s="3"/>
      <c r="H9" s="3"/>
      <c r="I9" s="3"/>
      <c r="J9" s="3"/>
      <c r="K9" s="3"/>
      <c r="L9" s="3"/>
      <c r="M9" s="3"/>
      <c r="N9" s="3"/>
      <c r="O9" s="3"/>
      <c r="P9" s="3"/>
      <c r="Q9" s="3"/>
      <c r="R9" s="3"/>
    </row>
    <row r="10" spans="1:18" x14ac:dyDescent="0.35">
      <c r="A10" s="3"/>
      <c r="B10" s="3"/>
      <c r="C10" s="3"/>
      <c r="D10" s="3"/>
      <c r="E10" s="3"/>
      <c r="F10" s="3"/>
      <c r="G10" s="3"/>
      <c r="H10" s="3"/>
      <c r="I10" s="3"/>
      <c r="J10" s="3"/>
      <c r="K10" s="3"/>
      <c r="L10" s="3"/>
      <c r="M10" s="3"/>
      <c r="N10" s="3"/>
      <c r="O10" s="3"/>
      <c r="P10" s="3"/>
      <c r="Q10" s="3"/>
      <c r="R10" s="3"/>
    </row>
    <row r="11" spans="1:18" x14ac:dyDescent="0.35">
      <c r="A11" s="3"/>
      <c r="B11" s="3"/>
      <c r="C11" s="3"/>
      <c r="D11" s="3"/>
      <c r="E11" s="3"/>
      <c r="F11" s="3"/>
      <c r="G11" s="3"/>
      <c r="H11" s="3"/>
      <c r="I11" s="3"/>
      <c r="J11" s="3"/>
      <c r="K11" s="3"/>
      <c r="L11" s="3"/>
      <c r="M11" s="3"/>
      <c r="N11" s="3"/>
      <c r="O11" s="3"/>
      <c r="P11" s="3"/>
      <c r="Q11" s="3"/>
      <c r="R11" s="3"/>
    </row>
    <row r="12" spans="1:18" x14ac:dyDescent="0.35">
      <c r="A12" s="3"/>
      <c r="B12" s="3"/>
      <c r="C12" s="3"/>
      <c r="D12" s="3"/>
      <c r="E12" s="3"/>
      <c r="F12" s="3"/>
      <c r="G12" s="3"/>
      <c r="H12" s="3"/>
      <c r="I12" s="3"/>
      <c r="J12" s="3"/>
      <c r="K12" s="3"/>
      <c r="L12" s="3"/>
      <c r="M12" s="3"/>
      <c r="N12" s="3"/>
      <c r="O12" s="3"/>
      <c r="P12" s="3"/>
      <c r="Q12" s="3"/>
      <c r="R12" s="3"/>
    </row>
    <row r="13" spans="1:18" x14ac:dyDescent="0.35">
      <c r="A13" s="3"/>
      <c r="B13" s="3"/>
      <c r="C13" s="3"/>
      <c r="D13" s="3"/>
      <c r="E13" s="3"/>
      <c r="F13" s="3"/>
      <c r="G13" s="3"/>
      <c r="H13" s="3"/>
      <c r="I13" s="3"/>
      <c r="J13" s="3"/>
      <c r="K13" s="3"/>
      <c r="L13" s="3"/>
      <c r="M13" s="3"/>
      <c r="N13" s="3"/>
      <c r="O13" s="3"/>
      <c r="P13" s="3"/>
      <c r="Q13" s="3"/>
      <c r="R13" s="3"/>
    </row>
    <row r="14" spans="1:18" x14ac:dyDescent="0.35">
      <c r="A14" s="3"/>
      <c r="B14" s="3"/>
      <c r="C14" s="3"/>
      <c r="D14" s="3"/>
      <c r="E14" s="3"/>
      <c r="F14" s="3"/>
      <c r="G14" s="3"/>
      <c r="H14" s="3"/>
      <c r="I14" s="3"/>
      <c r="J14" s="3"/>
      <c r="K14" s="3"/>
      <c r="L14" s="3"/>
      <c r="M14" s="3"/>
      <c r="N14" s="3"/>
      <c r="O14" s="3"/>
      <c r="P14" s="3"/>
      <c r="Q14" s="3"/>
      <c r="R14" s="3"/>
    </row>
    <row r="15" spans="1:18" x14ac:dyDescent="0.35">
      <c r="A15" s="3"/>
      <c r="B15" s="3"/>
      <c r="C15" s="3"/>
      <c r="D15" s="3"/>
      <c r="E15" s="3"/>
      <c r="F15" s="3"/>
      <c r="G15" s="3"/>
      <c r="H15" s="3"/>
      <c r="I15" s="3"/>
      <c r="J15" s="3"/>
      <c r="K15" s="3"/>
      <c r="L15" s="3"/>
      <c r="M15" s="3"/>
      <c r="N15" s="3"/>
      <c r="O15" s="3"/>
      <c r="P15" s="3"/>
      <c r="Q15" s="3"/>
      <c r="R15" s="3"/>
    </row>
    <row r="16" spans="1:18" x14ac:dyDescent="0.35">
      <c r="A16" s="3"/>
      <c r="B16" s="3"/>
      <c r="C16" s="3"/>
      <c r="D16" s="3"/>
      <c r="E16" s="3"/>
      <c r="F16" s="3"/>
      <c r="G16" s="3"/>
      <c r="H16" s="3"/>
      <c r="I16" s="3"/>
      <c r="J16" s="3"/>
      <c r="K16" s="3"/>
      <c r="L16" s="3"/>
      <c r="M16" s="3"/>
      <c r="N16" s="3"/>
      <c r="O16" s="3"/>
      <c r="P16" s="3"/>
      <c r="Q16" s="3"/>
      <c r="R16" s="3"/>
    </row>
    <row r="17" spans="1:18" x14ac:dyDescent="0.35">
      <c r="A17" s="3"/>
      <c r="B17" s="3"/>
      <c r="C17" s="3"/>
      <c r="D17" s="3"/>
      <c r="E17" s="3"/>
      <c r="F17" s="3"/>
      <c r="G17" s="3"/>
      <c r="H17" s="3"/>
      <c r="I17" s="3"/>
      <c r="J17" s="3"/>
      <c r="K17" s="3"/>
      <c r="L17" s="3"/>
      <c r="M17" s="3"/>
      <c r="N17" s="3"/>
      <c r="O17" s="3"/>
      <c r="P17" s="3"/>
      <c r="Q17" s="3"/>
      <c r="R17" s="3"/>
    </row>
    <row r="18" spans="1:18" x14ac:dyDescent="0.35">
      <c r="A18" s="3"/>
      <c r="B18" s="3"/>
      <c r="C18" s="3"/>
      <c r="D18" s="3"/>
      <c r="E18" s="3"/>
      <c r="F18" s="3"/>
      <c r="G18" s="3"/>
      <c r="H18" s="3"/>
      <c r="I18" s="3"/>
      <c r="J18" s="3"/>
      <c r="K18" s="3"/>
      <c r="L18" s="3"/>
      <c r="M18" s="3"/>
      <c r="N18" s="3"/>
      <c r="O18" s="3"/>
      <c r="P18" s="3"/>
      <c r="Q18" s="3"/>
      <c r="R18" s="3"/>
    </row>
    <row r="19" spans="1:18" x14ac:dyDescent="0.35">
      <c r="A19" s="3"/>
      <c r="B19" s="3"/>
      <c r="C19" s="3"/>
      <c r="D19" s="3"/>
      <c r="E19" s="3"/>
      <c r="F19" s="3"/>
      <c r="G19" s="3"/>
      <c r="H19" s="3"/>
      <c r="I19" s="3"/>
      <c r="J19" s="3"/>
      <c r="K19" s="3"/>
      <c r="L19" s="3"/>
      <c r="M19" s="3"/>
      <c r="N19" s="3"/>
      <c r="O19" s="3"/>
      <c r="P19" s="3"/>
      <c r="Q19" s="3"/>
      <c r="R19" s="3"/>
    </row>
    <row r="20" spans="1:18" x14ac:dyDescent="0.35">
      <c r="A20" s="3"/>
      <c r="B20" s="3"/>
      <c r="C20" s="3"/>
      <c r="D20" s="3"/>
      <c r="E20" s="3"/>
      <c r="F20" s="3"/>
      <c r="G20" s="3"/>
      <c r="H20" s="3"/>
      <c r="I20" s="3"/>
      <c r="J20" s="3"/>
      <c r="K20" s="3"/>
      <c r="L20" s="3"/>
      <c r="M20" s="3"/>
      <c r="N20" s="3"/>
      <c r="O20" s="3"/>
      <c r="P20" s="3"/>
      <c r="Q20" s="3"/>
      <c r="R20" s="3"/>
    </row>
    <row r="21" spans="1:18" x14ac:dyDescent="0.35">
      <c r="A21" s="3"/>
      <c r="B21" s="3"/>
      <c r="C21" s="3"/>
      <c r="D21" s="3"/>
      <c r="E21" s="3"/>
      <c r="F21" s="3"/>
      <c r="G21" s="3"/>
      <c r="H21" s="3"/>
      <c r="I21" s="3"/>
      <c r="J21" s="3"/>
      <c r="K21" s="3"/>
      <c r="L21" s="3"/>
      <c r="M21" s="3"/>
      <c r="N21" s="3"/>
      <c r="O21" s="3"/>
      <c r="P21" s="3"/>
      <c r="Q21" s="3"/>
      <c r="R21" s="3"/>
    </row>
    <row r="22" spans="1:18" x14ac:dyDescent="0.35">
      <c r="A22" s="3"/>
      <c r="B22" s="3"/>
      <c r="C22" s="3"/>
      <c r="D22" s="3"/>
      <c r="E22" s="3"/>
      <c r="F22" s="3"/>
      <c r="G22" s="3"/>
      <c r="H22" s="3"/>
      <c r="I22" s="3"/>
      <c r="J22" s="3"/>
      <c r="K22" s="3"/>
      <c r="L22" s="3"/>
      <c r="M22" s="3"/>
      <c r="N22" s="3"/>
      <c r="O22" s="3"/>
      <c r="P22" s="3"/>
      <c r="Q22" s="3"/>
      <c r="R22" s="3"/>
    </row>
    <row r="23" spans="1:18" x14ac:dyDescent="0.35">
      <c r="A23" s="3"/>
      <c r="B23" s="3"/>
      <c r="C23" s="3"/>
      <c r="D23" s="3"/>
      <c r="E23" s="3"/>
      <c r="F23" s="3"/>
      <c r="G23" s="3"/>
      <c r="H23" s="3"/>
      <c r="I23" s="3"/>
      <c r="J23" s="3"/>
      <c r="K23" s="3"/>
      <c r="L23" s="3"/>
      <c r="M23" s="3"/>
      <c r="N23" s="3"/>
      <c r="O23" s="3"/>
      <c r="P23" s="3"/>
      <c r="Q23" s="3"/>
      <c r="R23" s="3"/>
    </row>
    <row r="24" spans="1:18" x14ac:dyDescent="0.35">
      <c r="A24" s="3"/>
      <c r="B24" s="3"/>
      <c r="C24" s="3"/>
      <c r="D24" s="3"/>
      <c r="E24" s="3"/>
      <c r="F24" s="3"/>
      <c r="G24" s="3"/>
      <c r="H24" s="3"/>
      <c r="I24" s="3"/>
      <c r="J24" s="3"/>
      <c r="K24" s="3"/>
      <c r="L24" s="3"/>
      <c r="M24" s="3"/>
      <c r="N24" s="3"/>
      <c r="O24" s="3"/>
      <c r="P24" s="3"/>
      <c r="Q24" s="3"/>
      <c r="R24" s="3"/>
    </row>
    <row r="25" spans="1:18" x14ac:dyDescent="0.35">
      <c r="A25" s="3"/>
      <c r="B25" s="3"/>
      <c r="C25" s="3"/>
      <c r="D25" s="3"/>
      <c r="E25" s="3"/>
      <c r="F25" s="3"/>
      <c r="G25" s="3"/>
      <c r="H25" s="3"/>
      <c r="I25" s="3"/>
      <c r="J25" s="3"/>
      <c r="K25" s="3"/>
      <c r="L25" s="3"/>
      <c r="M25" s="3"/>
      <c r="N25" s="3"/>
      <c r="O25" s="3"/>
      <c r="P25" s="3"/>
      <c r="Q25" s="3"/>
      <c r="R25" s="3"/>
    </row>
    <row r="26" spans="1:18" x14ac:dyDescent="0.35">
      <c r="A26" s="3"/>
      <c r="B26" s="3"/>
      <c r="C26" s="3"/>
      <c r="D26" s="3"/>
      <c r="E26" s="3"/>
      <c r="F26" s="3"/>
      <c r="G26" s="3"/>
      <c r="H26" s="3"/>
      <c r="I26" s="3"/>
      <c r="J26" s="3"/>
      <c r="K26" s="3"/>
      <c r="L26" s="3"/>
      <c r="M26" s="3"/>
      <c r="N26" s="3"/>
      <c r="O26" s="3"/>
      <c r="P26" s="3"/>
      <c r="Q26" s="3"/>
      <c r="R26" s="3"/>
    </row>
    <row r="27" spans="1:18" x14ac:dyDescent="0.35">
      <c r="A27" s="3"/>
      <c r="B27" s="3"/>
      <c r="C27" s="3"/>
      <c r="D27" s="3"/>
      <c r="E27" s="3"/>
      <c r="F27" s="3"/>
      <c r="G27" s="3"/>
      <c r="H27" s="3"/>
      <c r="I27" s="3"/>
      <c r="J27" s="3"/>
      <c r="K27" s="3"/>
      <c r="L27" s="3"/>
      <c r="M27" s="3"/>
      <c r="N27" s="3"/>
      <c r="O27" s="3"/>
      <c r="P27" s="3"/>
      <c r="Q27" s="3"/>
      <c r="R27" s="3"/>
    </row>
    <row r="28" spans="1:18" x14ac:dyDescent="0.35">
      <c r="A28" s="3"/>
      <c r="B28" s="3"/>
      <c r="C28" s="3"/>
      <c r="D28" s="3"/>
      <c r="E28" s="3"/>
      <c r="F28" s="3"/>
      <c r="G28" s="3"/>
      <c r="H28" s="3"/>
      <c r="I28" s="3"/>
      <c r="J28" s="3"/>
      <c r="K28" s="3"/>
      <c r="L28" s="3"/>
      <c r="M28" s="3"/>
      <c r="N28" s="3"/>
      <c r="O28" s="3"/>
      <c r="P28" s="3"/>
      <c r="Q28" s="3"/>
      <c r="R28" s="3"/>
    </row>
    <row r="29" spans="1:18" x14ac:dyDescent="0.35">
      <c r="A29" s="3"/>
      <c r="B29" s="3"/>
      <c r="C29" s="3"/>
      <c r="D29" s="3"/>
      <c r="E29" s="3"/>
      <c r="F29" s="3"/>
      <c r="G29" s="3"/>
      <c r="H29" s="3"/>
      <c r="I29" s="3"/>
      <c r="J29" s="3"/>
      <c r="K29" s="3"/>
      <c r="L29" s="3"/>
      <c r="M29" s="3"/>
      <c r="N29" s="3"/>
      <c r="O29" s="3"/>
      <c r="P29" s="3"/>
      <c r="Q29" s="3"/>
      <c r="R29" s="3"/>
    </row>
    <row r="30" spans="1:18" x14ac:dyDescent="0.35">
      <c r="A30" s="3"/>
      <c r="B30" s="3"/>
      <c r="C30" s="3"/>
      <c r="D30" s="3"/>
      <c r="E30" s="3"/>
      <c r="F30" s="3"/>
      <c r="G30" s="3"/>
      <c r="H30" s="3"/>
      <c r="I30" s="3"/>
      <c r="J30" s="3"/>
      <c r="K30" s="3"/>
      <c r="L30" s="3"/>
      <c r="M30" s="3"/>
      <c r="N30" s="3"/>
      <c r="O30" s="3"/>
      <c r="P30" s="3"/>
      <c r="Q30" s="3"/>
      <c r="R30"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7F123-4B57-48F0-8A5E-670001B1F946}">
  <dimension ref="A1:S27"/>
  <sheetViews>
    <sheetView workbookViewId="0"/>
  </sheetViews>
  <sheetFormatPr defaultRowHeight="14.5" x14ac:dyDescent="0.35"/>
  <sheetData>
    <row r="1" spans="1:19" x14ac:dyDescent="0.35">
      <c r="A1" s="6"/>
      <c r="B1" s="6"/>
      <c r="C1" s="6"/>
      <c r="D1" s="6"/>
      <c r="E1" s="6"/>
      <c r="F1" s="6"/>
      <c r="G1" s="6"/>
      <c r="H1" s="6"/>
      <c r="I1" s="6"/>
      <c r="J1" s="6"/>
      <c r="K1" s="6"/>
      <c r="L1" s="6"/>
      <c r="M1" s="6"/>
      <c r="N1" s="6"/>
      <c r="O1" s="6"/>
      <c r="P1" s="6"/>
      <c r="Q1" s="6"/>
      <c r="R1" s="6"/>
      <c r="S1" s="6"/>
    </row>
    <row r="2" spans="1:19" x14ac:dyDescent="0.35">
      <c r="A2" s="6"/>
      <c r="B2" s="6"/>
      <c r="C2" s="6"/>
      <c r="D2" s="6"/>
      <c r="E2" s="6"/>
      <c r="F2" s="6"/>
      <c r="G2" s="6"/>
      <c r="H2" s="6"/>
      <c r="I2" s="6"/>
      <c r="J2" s="6"/>
      <c r="K2" s="6"/>
      <c r="L2" s="6"/>
      <c r="M2" s="6"/>
      <c r="N2" s="6"/>
      <c r="O2" s="6"/>
      <c r="P2" s="6"/>
      <c r="Q2" s="6"/>
      <c r="R2" s="6"/>
      <c r="S2" s="6"/>
    </row>
    <row r="3" spans="1:19" x14ac:dyDescent="0.35">
      <c r="A3" s="6"/>
      <c r="B3" s="6"/>
      <c r="C3" s="6"/>
      <c r="D3" s="6"/>
      <c r="E3" s="6"/>
      <c r="F3" s="6"/>
      <c r="G3" s="6"/>
      <c r="H3" s="6"/>
      <c r="I3" s="6"/>
      <c r="J3" s="6"/>
      <c r="K3" s="6"/>
      <c r="L3" s="6"/>
      <c r="M3" s="6"/>
      <c r="N3" s="6"/>
      <c r="O3" s="6"/>
      <c r="P3" s="6"/>
      <c r="Q3" s="6"/>
      <c r="R3" s="6"/>
      <c r="S3" s="6"/>
    </row>
    <row r="4" spans="1:19" x14ac:dyDescent="0.35">
      <c r="A4" s="6"/>
      <c r="B4" s="6"/>
      <c r="C4" s="6"/>
      <c r="D4" s="6"/>
      <c r="E4" s="6"/>
      <c r="F4" s="6"/>
      <c r="G4" s="6"/>
      <c r="H4" s="6"/>
      <c r="I4" s="6"/>
      <c r="J4" s="6"/>
      <c r="K4" s="6"/>
      <c r="L4" s="6"/>
      <c r="M4" s="6"/>
      <c r="N4" s="6"/>
      <c r="O4" s="6"/>
      <c r="P4" s="6"/>
      <c r="Q4" s="6"/>
      <c r="R4" s="6"/>
      <c r="S4" s="6"/>
    </row>
    <row r="5" spans="1:19" x14ac:dyDescent="0.35">
      <c r="A5" s="6"/>
      <c r="B5" s="6"/>
      <c r="C5" s="6"/>
      <c r="D5" s="6"/>
      <c r="E5" s="6"/>
      <c r="F5" s="6"/>
      <c r="G5" s="6"/>
      <c r="H5" s="6"/>
      <c r="I5" s="6"/>
      <c r="J5" s="6"/>
      <c r="K5" s="6"/>
      <c r="L5" s="6"/>
      <c r="M5" s="6"/>
      <c r="N5" s="6"/>
      <c r="O5" s="6"/>
      <c r="P5" s="6"/>
      <c r="Q5" s="6"/>
      <c r="R5" s="6"/>
      <c r="S5" s="6"/>
    </row>
    <row r="6" spans="1:19" x14ac:dyDescent="0.35">
      <c r="A6" s="6"/>
      <c r="B6" s="6"/>
      <c r="C6" s="6"/>
      <c r="D6" s="6"/>
      <c r="E6" s="6"/>
      <c r="F6" s="6"/>
      <c r="G6" s="6"/>
      <c r="H6" s="6"/>
      <c r="I6" s="6"/>
      <c r="J6" s="6"/>
      <c r="K6" s="6"/>
      <c r="L6" s="6"/>
      <c r="M6" s="6"/>
      <c r="N6" s="6"/>
      <c r="O6" s="6"/>
      <c r="P6" s="6"/>
      <c r="Q6" s="6"/>
      <c r="R6" s="6"/>
      <c r="S6" s="6"/>
    </row>
    <row r="7" spans="1:19" x14ac:dyDescent="0.35">
      <c r="A7" s="6"/>
      <c r="B7" s="6"/>
      <c r="C7" s="6"/>
      <c r="D7" s="6"/>
      <c r="E7" s="6"/>
      <c r="F7" s="6"/>
      <c r="G7" s="6"/>
      <c r="H7" s="6"/>
      <c r="I7" s="6"/>
      <c r="J7" s="6"/>
      <c r="K7" s="6"/>
      <c r="L7" s="6"/>
      <c r="M7" s="6"/>
      <c r="N7" s="6"/>
      <c r="O7" s="6"/>
      <c r="P7" s="6"/>
      <c r="Q7" s="6"/>
      <c r="R7" s="6"/>
      <c r="S7" s="6"/>
    </row>
    <row r="8" spans="1:19" x14ac:dyDescent="0.35">
      <c r="A8" s="6"/>
      <c r="B8" s="6"/>
      <c r="C8" s="6"/>
      <c r="D8" s="6"/>
      <c r="E8" s="6"/>
      <c r="F8" s="6"/>
      <c r="G8" s="6"/>
      <c r="H8" s="6"/>
      <c r="I8" s="6"/>
      <c r="J8" s="6"/>
      <c r="K8" s="6"/>
      <c r="L8" s="6"/>
      <c r="M8" s="6"/>
      <c r="N8" s="6"/>
      <c r="O8" s="6"/>
      <c r="P8" s="6"/>
      <c r="Q8" s="6"/>
      <c r="R8" s="6"/>
      <c r="S8" s="6"/>
    </row>
    <row r="9" spans="1:19" x14ac:dyDescent="0.35">
      <c r="A9" s="6"/>
      <c r="B9" s="6"/>
      <c r="C9" s="6"/>
      <c r="D9" s="6"/>
      <c r="E9" s="6"/>
      <c r="F9" s="6"/>
      <c r="G9" s="6"/>
      <c r="H9" s="6"/>
      <c r="I9" s="6"/>
      <c r="J9" s="6"/>
      <c r="K9" s="6"/>
      <c r="L9" s="6"/>
      <c r="M9" s="6"/>
      <c r="N9" s="6"/>
      <c r="O9" s="6"/>
      <c r="P9" s="6"/>
      <c r="Q9" s="6"/>
      <c r="R9" s="6"/>
      <c r="S9" s="6"/>
    </row>
    <row r="10" spans="1:19" x14ac:dyDescent="0.35">
      <c r="A10" s="6"/>
      <c r="B10" s="6"/>
      <c r="C10" s="6"/>
      <c r="D10" s="6"/>
      <c r="E10" s="6"/>
      <c r="F10" s="6"/>
      <c r="G10" s="6"/>
      <c r="H10" s="6"/>
      <c r="I10" s="6"/>
      <c r="J10" s="6"/>
      <c r="K10" s="6"/>
      <c r="L10" s="6"/>
      <c r="M10" s="6"/>
      <c r="N10" s="6"/>
      <c r="O10" s="6"/>
      <c r="P10" s="6"/>
      <c r="Q10" s="6"/>
      <c r="R10" s="6"/>
      <c r="S10" s="6"/>
    </row>
    <row r="11" spans="1:19" x14ac:dyDescent="0.35">
      <c r="A11" s="6"/>
      <c r="B11" s="6"/>
      <c r="C11" s="6"/>
      <c r="D11" s="6"/>
      <c r="E11" s="6"/>
      <c r="F11" s="6"/>
      <c r="G11" s="6"/>
      <c r="H11" s="6"/>
      <c r="I11" s="6"/>
      <c r="J11" s="6"/>
      <c r="K11" s="6"/>
      <c r="L11" s="6"/>
      <c r="M11" s="6"/>
      <c r="N11" s="6"/>
      <c r="O11" s="6"/>
      <c r="P11" s="6"/>
      <c r="Q11" s="6"/>
      <c r="R11" s="6"/>
      <c r="S11" s="6"/>
    </row>
    <row r="12" spans="1:19" x14ac:dyDescent="0.35">
      <c r="A12" s="6"/>
      <c r="B12" s="6"/>
      <c r="C12" s="6"/>
      <c r="D12" s="6"/>
      <c r="E12" s="6"/>
      <c r="F12" s="6"/>
      <c r="G12" s="6"/>
      <c r="H12" s="6"/>
      <c r="I12" s="6"/>
      <c r="J12" s="6"/>
      <c r="K12" s="6"/>
      <c r="L12" s="6"/>
      <c r="M12" s="6"/>
      <c r="N12" s="6"/>
      <c r="O12" s="6"/>
      <c r="P12" s="6"/>
      <c r="Q12" s="6"/>
      <c r="R12" s="6"/>
      <c r="S12" s="6"/>
    </row>
    <row r="13" spans="1:19" x14ac:dyDescent="0.35">
      <c r="A13" s="6"/>
      <c r="B13" s="6"/>
      <c r="C13" s="6"/>
      <c r="D13" s="6"/>
      <c r="E13" s="6"/>
      <c r="F13" s="6"/>
      <c r="G13" s="6"/>
      <c r="H13" s="6"/>
      <c r="I13" s="6"/>
      <c r="J13" s="6"/>
      <c r="K13" s="6"/>
      <c r="L13" s="6"/>
      <c r="M13" s="6"/>
      <c r="N13" s="6"/>
      <c r="O13" s="6"/>
      <c r="P13" s="6"/>
      <c r="Q13" s="6"/>
      <c r="R13" s="6"/>
      <c r="S13" s="6"/>
    </row>
    <row r="14" spans="1:19" x14ac:dyDescent="0.35">
      <c r="A14" s="6"/>
      <c r="B14" s="6"/>
      <c r="C14" s="6"/>
      <c r="D14" s="6"/>
      <c r="E14" s="6"/>
      <c r="F14" s="6"/>
      <c r="G14" s="6"/>
      <c r="H14" s="6"/>
      <c r="I14" s="6"/>
      <c r="J14" s="6"/>
      <c r="K14" s="6"/>
      <c r="L14" s="6"/>
      <c r="M14" s="6"/>
      <c r="N14" s="6"/>
      <c r="O14" s="6"/>
      <c r="P14" s="6"/>
      <c r="Q14" s="6"/>
      <c r="R14" s="6"/>
      <c r="S14" s="6"/>
    </row>
    <row r="15" spans="1:19" x14ac:dyDescent="0.35">
      <c r="A15" s="6"/>
      <c r="B15" s="6"/>
      <c r="C15" s="6"/>
      <c r="D15" s="6"/>
      <c r="E15" s="6"/>
      <c r="F15" s="6"/>
      <c r="G15" s="6"/>
      <c r="H15" s="6"/>
      <c r="I15" s="6"/>
      <c r="J15" s="6"/>
      <c r="K15" s="6"/>
      <c r="L15" s="6"/>
      <c r="M15" s="6"/>
      <c r="N15" s="6"/>
      <c r="O15" s="6"/>
      <c r="P15" s="6"/>
      <c r="Q15" s="6"/>
      <c r="R15" s="6"/>
      <c r="S15" s="6"/>
    </row>
    <row r="16" spans="1:19" x14ac:dyDescent="0.35">
      <c r="A16" s="6"/>
      <c r="B16" s="6"/>
      <c r="C16" s="6"/>
      <c r="D16" s="6"/>
      <c r="E16" s="6"/>
      <c r="F16" s="6"/>
      <c r="G16" s="6"/>
      <c r="H16" s="6"/>
      <c r="I16" s="6"/>
      <c r="J16" s="6"/>
      <c r="K16" s="6"/>
      <c r="L16" s="6"/>
      <c r="M16" s="6"/>
      <c r="N16" s="6"/>
      <c r="O16" s="6"/>
      <c r="P16" s="6"/>
      <c r="Q16" s="6"/>
      <c r="R16" s="6"/>
      <c r="S16" s="6"/>
    </row>
    <row r="17" spans="1:19" x14ac:dyDescent="0.35">
      <c r="A17" s="6"/>
      <c r="B17" s="6"/>
      <c r="C17" s="6"/>
      <c r="D17" s="6"/>
      <c r="E17" s="6"/>
      <c r="F17" s="6"/>
      <c r="G17" s="6"/>
      <c r="H17" s="6"/>
      <c r="I17" s="6"/>
      <c r="J17" s="6"/>
      <c r="K17" s="6"/>
      <c r="L17" s="6"/>
      <c r="M17" s="6"/>
      <c r="N17" s="6"/>
      <c r="O17" s="6"/>
      <c r="P17" s="6"/>
      <c r="Q17" s="6"/>
      <c r="R17" s="6"/>
      <c r="S17" s="6"/>
    </row>
    <row r="18" spans="1:19" x14ac:dyDescent="0.35">
      <c r="A18" s="6"/>
      <c r="B18" s="6"/>
      <c r="C18" s="6"/>
      <c r="D18" s="6"/>
      <c r="E18" s="6"/>
      <c r="F18" s="6"/>
      <c r="G18" s="6"/>
      <c r="H18" s="6"/>
      <c r="I18" s="6"/>
      <c r="J18" s="6"/>
      <c r="K18" s="6"/>
      <c r="L18" s="6"/>
      <c r="M18" s="6"/>
      <c r="N18" s="6"/>
      <c r="O18" s="6"/>
      <c r="P18" s="6"/>
      <c r="Q18" s="6"/>
      <c r="R18" s="6"/>
      <c r="S18" s="6"/>
    </row>
    <row r="19" spans="1:19" x14ac:dyDescent="0.35">
      <c r="A19" s="6"/>
      <c r="B19" s="6"/>
      <c r="C19" s="6"/>
      <c r="D19" s="6"/>
      <c r="E19" s="6"/>
      <c r="F19" s="6"/>
      <c r="G19" s="6"/>
      <c r="H19" s="6"/>
      <c r="I19" s="6"/>
      <c r="J19" s="6"/>
      <c r="K19" s="6"/>
      <c r="L19" s="6"/>
      <c r="M19" s="6"/>
      <c r="N19" s="6"/>
      <c r="O19" s="6"/>
      <c r="P19" s="6"/>
      <c r="Q19" s="6"/>
      <c r="R19" s="6"/>
      <c r="S19" s="6"/>
    </row>
    <row r="20" spans="1:19" x14ac:dyDescent="0.35">
      <c r="A20" s="6"/>
      <c r="B20" s="6"/>
      <c r="C20" s="6"/>
      <c r="D20" s="6"/>
      <c r="E20" s="6"/>
      <c r="F20" s="6"/>
      <c r="G20" s="6"/>
      <c r="H20" s="6"/>
      <c r="I20" s="6"/>
      <c r="J20" s="6"/>
      <c r="K20" s="6"/>
      <c r="L20" s="6"/>
      <c r="M20" s="6"/>
      <c r="N20" s="6"/>
      <c r="O20" s="6"/>
      <c r="P20" s="6"/>
      <c r="Q20" s="6"/>
      <c r="R20" s="6"/>
      <c r="S20" s="6"/>
    </row>
    <row r="21" spans="1:19" x14ac:dyDescent="0.35">
      <c r="A21" s="6"/>
      <c r="B21" s="6"/>
      <c r="C21" s="6"/>
      <c r="D21" s="6"/>
      <c r="E21" s="6"/>
      <c r="F21" s="6"/>
      <c r="G21" s="6"/>
      <c r="H21" s="6"/>
      <c r="I21" s="6"/>
      <c r="J21" s="6"/>
      <c r="K21" s="6"/>
      <c r="L21" s="6"/>
      <c r="M21" s="6"/>
      <c r="N21" s="6"/>
      <c r="O21" s="6"/>
      <c r="P21" s="6"/>
      <c r="Q21" s="6"/>
      <c r="R21" s="6"/>
      <c r="S21" s="6"/>
    </row>
    <row r="22" spans="1:19" x14ac:dyDescent="0.35">
      <c r="A22" s="6"/>
      <c r="B22" s="6"/>
      <c r="C22" s="6"/>
      <c r="D22" s="6"/>
      <c r="E22" s="6"/>
      <c r="F22" s="6"/>
      <c r="G22" s="6"/>
      <c r="H22" s="6"/>
      <c r="I22" s="6"/>
      <c r="J22" s="6"/>
      <c r="K22" s="6"/>
      <c r="L22" s="6"/>
      <c r="M22" s="6"/>
      <c r="N22" s="6"/>
      <c r="O22" s="6"/>
      <c r="P22" s="6"/>
      <c r="Q22" s="6"/>
      <c r="R22" s="6"/>
      <c r="S22" s="6"/>
    </row>
    <row r="23" spans="1:19" x14ac:dyDescent="0.35">
      <c r="A23" s="6"/>
      <c r="B23" s="6"/>
      <c r="C23" s="6"/>
      <c r="D23" s="6"/>
      <c r="E23" s="6"/>
      <c r="F23" s="6"/>
      <c r="G23" s="6"/>
      <c r="H23" s="6"/>
      <c r="I23" s="6"/>
      <c r="J23" s="6"/>
      <c r="K23" s="6"/>
      <c r="L23" s="6"/>
      <c r="M23" s="6"/>
      <c r="N23" s="6"/>
      <c r="O23" s="6"/>
      <c r="P23" s="6"/>
      <c r="Q23" s="6"/>
      <c r="R23" s="6"/>
      <c r="S23" s="6"/>
    </row>
    <row r="24" spans="1:19" x14ac:dyDescent="0.35">
      <c r="A24" s="6"/>
      <c r="B24" s="6"/>
      <c r="C24" s="6"/>
      <c r="D24" s="6"/>
      <c r="E24" s="6"/>
      <c r="F24" s="6"/>
      <c r="G24" s="6"/>
      <c r="H24" s="6"/>
      <c r="I24" s="6"/>
      <c r="J24" s="6"/>
      <c r="K24" s="6"/>
      <c r="L24" s="6"/>
      <c r="M24" s="6"/>
      <c r="N24" s="6"/>
      <c r="O24" s="6"/>
      <c r="P24" s="6"/>
      <c r="Q24" s="6"/>
      <c r="R24" s="6"/>
      <c r="S24" s="6"/>
    </row>
    <row r="25" spans="1:19" x14ac:dyDescent="0.35">
      <c r="A25" s="6"/>
      <c r="B25" s="6"/>
      <c r="C25" s="6"/>
      <c r="D25" s="6"/>
      <c r="E25" s="6"/>
      <c r="F25" s="6"/>
      <c r="G25" s="6"/>
      <c r="H25" s="6"/>
      <c r="I25" s="6"/>
      <c r="J25" s="6"/>
      <c r="K25" s="6"/>
      <c r="L25" s="6"/>
      <c r="M25" s="6"/>
      <c r="N25" s="6"/>
      <c r="O25" s="6"/>
      <c r="P25" s="6"/>
      <c r="Q25" s="6"/>
      <c r="R25" s="6"/>
      <c r="S25" s="6"/>
    </row>
    <row r="26" spans="1:19" x14ac:dyDescent="0.35">
      <c r="A26" s="6"/>
      <c r="B26" s="6"/>
      <c r="C26" s="6"/>
      <c r="D26" s="6"/>
      <c r="E26" s="6"/>
      <c r="F26" s="6"/>
      <c r="G26" s="6"/>
      <c r="H26" s="6"/>
      <c r="I26" s="6"/>
      <c r="J26" s="6"/>
      <c r="K26" s="6"/>
      <c r="L26" s="6"/>
      <c r="M26" s="6"/>
      <c r="N26" s="6"/>
      <c r="O26" s="6"/>
      <c r="P26" s="6"/>
      <c r="Q26" s="6"/>
      <c r="R26" s="6"/>
      <c r="S26" s="6"/>
    </row>
    <row r="27" spans="1:19" x14ac:dyDescent="0.35">
      <c r="A27" s="6"/>
      <c r="B27" s="6"/>
      <c r="C27" s="6"/>
      <c r="D27" s="6"/>
      <c r="E27" s="6"/>
      <c r="F27" s="6"/>
      <c r="G27" s="6"/>
      <c r="H27" s="6"/>
      <c r="I27" s="6"/>
      <c r="J27" s="6"/>
      <c r="K27" s="6"/>
      <c r="L27" s="6"/>
      <c r="M27" s="6"/>
      <c r="N27" s="6"/>
      <c r="O27" s="6"/>
      <c r="P27" s="6"/>
      <c r="Q27" s="6"/>
      <c r="R27" s="6"/>
      <c r="S27"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125E9-8C84-445B-B122-342E120195E7}">
  <dimension ref="A1:AG98"/>
  <sheetViews>
    <sheetView zoomScale="72" workbookViewId="0"/>
  </sheetViews>
  <sheetFormatPr defaultRowHeight="14.5" x14ac:dyDescent="0.35"/>
  <sheetData>
    <row r="1" spans="1:33" x14ac:dyDescent="0.3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3" x14ac:dyDescent="0.3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3" x14ac:dyDescent="0.3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x14ac:dyDescent="0.3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1:33" x14ac:dyDescent="0.3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x14ac:dyDescent="0.3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spans="1:33" x14ac:dyDescent="0.3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3" x14ac:dyDescent="0.3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x14ac:dyDescent="0.3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x14ac:dyDescent="0.3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x14ac:dyDescent="0.3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x14ac:dyDescent="0.3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x14ac:dyDescent="0.3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x14ac:dyDescent="0.3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ht="21.5" customHeight="1" x14ac:dyDescent="0.3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x14ac:dyDescent="0.3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x14ac:dyDescent="0.3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x14ac:dyDescent="0.3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x14ac:dyDescent="0.3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x14ac:dyDescent="0.3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3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3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x14ac:dyDescent="0.3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x14ac:dyDescent="0.3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x14ac:dyDescent="0.3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x14ac:dyDescent="0.3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x14ac:dyDescent="0.3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spans="1:33" x14ac:dyDescent="0.3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spans="1:33" x14ac:dyDescent="0.3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spans="1:33" x14ac:dyDescent="0.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x14ac:dyDescent="0.3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x14ac:dyDescent="0.3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x14ac:dyDescent="0.3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x14ac:dyDescent="0.3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x14ac:dyDescent="0.3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row>
    <row r="41" spans="1:33" x14ac:dyDescent="0.3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spans="1:33" x14ac:dyDescent="0.3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spans="1:33" x14ac:dyDescent="0.3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spans="1:33" x14ac:dyDescent="0.3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spans="1:33" x14ac:dyDescent="0.3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spans="1:33" x14ac:dyDescent="0.3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row>
    <row r="47" spans="1:33" x14ac:dyDescent="0.3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spans="1:33" x14ac:dyDescent="0.3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row>
    <row r="49" spans="1:33" x14ac:dyDescent="0.3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row>
    <row r="50" spans="1:33" x14ac:dyDescent="0.3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row>
    <row r="51" spans="1:33" x14ac:dyDescent="0.3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row>
    <row r="52" spans="1:33" x14ac:dyDescent="0.3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row>
    <row r="53" spans="1:33" x14ac:dyDescent="0.3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row>
    <row r="54" spans="1:33" x14ac:dyDescent="0.3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row>
    <row r="55" spans="1:33" x14ac:dyDescent="0.3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row>
    <row r="56" spans="1:33" x14ac:dyDescent="0.3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row>
    <row r="57" spans="1:33" x14ac:dyDescent="0.3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58" spans="1:33" x14ac:dyDescent="0.3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row>
    <row r="59" spans="1:33" x14ac:dyDescent="0.3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row>
    <row r="60" spans="1:33" x14ac:dyDescent="0.3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row>
    <row r="61" spans="1:33" x14ac:dyDescent="0.3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row>
    <row r="62" spans="1:33" x14ac:dyDescent="0.3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row>
    <row r="63" spans="1:33" x14ac:dyDescent="0.3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row>
    <row r="64" spans="1:33" x14ac:dyDescent="0.3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5" spans="1:33" x14ac:dyDescent="0.3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row>
    <row r="66" spans="1:33" x14ac:dyDescent="0.3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row>
    <row r="67" spans="1:33" x14ac:dyDescent="0.3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row>
    <row r="68" spans="1:33" x14ac:dyDescent="0.3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row>
    <row r="69" spans="1:33" x14ac:dyDescent="0.3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row>
    <row r="70" spans="1:33" x14ac:dyDescent="0.3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row>
    <row r="71" spans="1:33" x14ac:dyDescent="0.3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row>
    <row r="72" spans="1:33" x14ac:dyDescent="0.3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row>
    <row r="73" spans="1:33" x14ac:dyDescent="0.3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row>
    <row r="74" spans="1:33" x14ac:dyDescent="0.3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row>
    <row r="75" spans="1:33" x14ac:dyDescent="0.3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row>
    <row r="76" spans="1:33" x14ac:dyDescent="0.3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row>
    <row r="77" spans="1:33" x14ac:dyDescent="0.3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row>
    <row r="78" spans="1:33" x14ac:dyDescent="0.3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row>
    <row r="79" spans="1:33" x14ac:dyDescent="0.3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row>
    <row r="80" spans="1:33" x14ac:dyDescent="0.3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row>
    <row r="81" spans="1:33" x14ac:dyDescent="0.3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row>
    <row r="82" spans="1:33" x14ac:dyDescent="0.3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row>
    <row r="83" spans="1:33" x14ac:dyDescent="0.3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row>
    <row r="84" spans="1:33" x14ac:dyDescent="0.3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row>
    <row r="85" spans="1:33" x14ac:dyDescent="0.3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row>
    <row r="86" spans="1:33" x14ac:dyDescent="0.3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row>
    <row r="87" spans="1:33" x14ac:dyDescent="0.3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row>
    <row r="88" spans="1:33" x14ac:dyDescent="0.3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row>
    <row r="89" spans="1:33" x14ac:dyDescent="0.3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row>
    <row r="90" spans="1:33" x14ac:dyDescent="0.3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row>
    <row r="91" spans="1:33" x14ac:dyDescent="0.3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row>
    <row r="92" spans="1:33" x14ac:dyDescent="0.3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row>
    <row r="93" spans="1:33" x14ac:dyDescent="0.3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row>
    <row r="94" spans="1:33" x14ac:dyDescent="0.3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row>
    <row r="95" spans="1:33" x14ac:dyDescent="0.3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row>
    <row r="96" spans="1:33" x14ac:dyDescent="0.3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row>
    <row r="97" spans="1:33" x14ac:dyDescent="0.3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row>
    <row r="98" spans="1:33" x14ac:dyDescent="0.3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566CF-2F46-4CC1-9887-0B2C8E5DD5A8}">
  <dimension ref="A1:S27"/>
  <sheetViews>
    <sheetView workbookViewId="0"/>
  </sheetViews>
  <sheetFormatPr defaultRowHeight="14.5" x14ac:dyDescent="0.35"/>
  <sheetData>
    <row r="1" spans="1:19" x14ac:dyDescent="0.35">
      <c r="A1" s="7"/>
      <c r="B1" s="7"/>
      <c r="C1" s="7"/>
      <c r="D1" s="7"/>
      <c r="E1" s="7"/>
      <c r="F1" s="7"/>
      <c r="G1" s="7"/>
      <c r="H1" s="7"/>
      <c r="I1" s="7"/>
      <c r="J1" s="7"/>
      <c r="K1" s="7"/>
      <c r="L1" s="7"/>
      <c r="M1" s="7"/>
      <c r="N1" s="7"/>
      <c r="O1" s="7"/>
      <c r="P1" s="7"/>
      <c r="Q1" s="7"/>
      <c r="R1" s="7"/>
      <c r="S1" s="7"/>
    </row>
    <row r="2" spans="1:19" x14ac:dyDescent="0.35">
      <c r="A2" s="7"/>
      <c r="B2" s="7"/>
      <c r="C2" s="7"/>
      <c r="D2" s="7"/>
      <c r="E2" s="7"/>
      <c r="F2" s="7"/>
      <c r="G2" s="7"/>
      <c r="H2" s="7"/>
      <c r="I2" s="7"/>
      <c r="J2" s="7"/>
      <c r="K2" s="7"/>
      <c r="L2" s="7"/>
      <c r="M2" s="7"/>
      <c r="N2" s="7"/>
      <c r="O2" s="7"/>
      <c r="P2" s="7"/>
      <c r="Q2" s="7"/>
      <c r="R2" s="7"/>
      <c r="S2" s="7"/>
    </row>
    <row r="3" spans="1:19" x14ac:dyDescent="0.35">
      <c r="A3" s="7"/>
      <c r="B3" s="7"/>
      <c r="C3" s="7"/>
      <c r="D3" s="7"/>
      <c r="E3" s="7"/>
      <c r="F3" s="7"/>
      <c r="G3" s="7"/>
      <c r="H3" s="7"/>
      <c r="I3" s="7"/>
      <c r="J3" s="7"/>
      <c r="K3" s="7"/>
      <c r="L3" s="7"/>
      <c r="M3" s="7"/>
      <c r="N3" s="7"/>
      <c r="O3" s="7"/>
      <c r="P3" s="7"/>
      <c r="Q3" s="7"/>
      <c r="R3" s="7"/>
      <c r="S3" s="7"/>
    </row>
    <row r="4" spans="1:19" x14ac:dyDescent="0.35">
      <c r="A4" s="7"/>
      <c r="B4" s="7"/>
      <c r="C4" s="7"/>
      <c r="D4" s="7"/>
      <c r="E4" s="7"/>
      <c r="F4" s="7"/>
      <c r="G4" s="7"/>
      <c r="H4" s="7"/>
      <c r="I4" s="7"/>
      <c r="J4" s="7"/>
      <c r="K4" s="7"/>
      <c r="L4" s="7"/>
      <c r="M4" s="7"/>
      <c r="N4" s="7"/>
      <c r="O4" s="7"/>
      <c r="P4" s="7"/>
      <c r="Q4" s="7"/>
      <c r="R4" s="7"/>
      <c r="S4" s="7"/>
    </row>
    <row r="5" spans="1:19" x14ac:dyDescent="0.35">
      <c r="A5" s="7"/>
      <c r="B5" s="7"/>
      <c r="C5" s="7"/>
      <c r="D5" s="7"/>
      <c r="E5" s="7"/>
      <c r="F5" s="7"/>
      <c r="G5" s="7"/>
      <c r="H5" s="7"/>
      <c r="I5" s="7"/>
      <c r="J5" s="7"/>
      <c r="K5" s="7"/>
      <c r="L5" s="7"/>
      <c r="M5" s="7"/>
      <c r="N5" s="7"/>
      <c r="O5" s="7"/>
      <c r="P5" s="7"/>
      <c r="Q5" s="7"/>
      <c r="R5" s="7"/>
      <c r="S5" s="7"/>
    </row>
    <row r="6" spans="1:19" x14ac:dyDescent="0.35">
      <c r="A6" s="7"/>
      <c r="B6" s="7"/>
      <c r="C6" s="7"/>
      <c r="D6" s="7"/>
      <c r="E6" s="7"/>
      <c r="F6" s="7"/>
      <c r="G6" s="7"/>
      <c r="H6" s="7"/>
      <c r="I6" s="7"/>
      <c r="J6" s="7"/>
      <c r="K6" s="7"/>
      <c r="L6" s="7"/>
      <c r="M6" s="7"/>
      <c r="N6" s="7"/>
      <c r="O6" s="7"/>
      <c r="P6" s="7"/>
      <c r="Q6" s="7"/>
      <c r="R6" s="7"/>
      <c r="S6" s="7"/>
    </row>
    <row r="7" spans="1:19" x14ac:dyDescent="0.35">
      <c r="A7" s="7"/>
      <c r="B7" s="7"/>
      <c r="C7" s="7"/>
      <c r="D7" s="7"/>
      <c r="E7" s="7"/>
      <c r="F7" s="7"/>
      <c r="G7" s="7"/>
      <c r="H7" s="7"/>
      <c r="I7" s="7"/>
      <c r="J7" s="7"/>
      <c r="K7" s="7"/>
      <c r="L7" s="7"/>
      <c r="M7" s="7"/>
      <c r="N7" s="7"/>
      <c r="O7" s="7"/>
      <c r="P7" s="7"/>
      <c r="Q7" s="7"/>
      <c r="R7" s="7"/>
      <c r="S7" s="7"/>
    </row>
    <row r="8" spans="1:19" x14ac:dyDescent="0.35">
      <c r="A8" s="7"/>
      <c r="B8" s="7"/>
      <c r="C8" s="7"/>
      <c r="D8" s="7"/>
      <c r="E8" s="7"/>
      <c r="F8" s="7"/>
      <c r="G8" s="7"/>
      <c r="H8" s="7"/>
      <c r="I8" s="7"/>
      <c r="J8" s="7"/>
      <c r="K8" s="7"/>
      <c r="L8" s="7"/>
      <c r="M8" s="7"/>
      <c r="N8" s="7"/>
      <c r="O8" s="7"/>
      <c r="P8" s="7"/>
      <c r="Q8" s="7"/>
      <c r="R8" s="7"/>
      <c r="S8" s="7"/>
    </row>
    <row r="9" spans="1:19" x14ac:dyDescent="0.35">
      <c r="A9" s="7"/>
      <c r="B9" s="7"/>
      <c r="C9" s="7"/>
      <c r="D9" s="7"/>
      <c r="E9" s="7"/>
      <c r="F9" s="7"/>
      <c r="G9" s="7"/>
      <c r="H9" s="7"/>
      <c r="I9" s="7"/>
      <c r="J9" s="7"/>
      <c r="K9" s="7"/>
      <c r="L9" s="7"/>
      <c r="M9" s="7"/>
      <c r="N9" s="7"/>
      <c r="O9" s="7"/>
      <c r="P9" s="7"/>
      <c r="Q9" s="7"/>
      <c r="R9" s="7"/>
      <c r="S9" s="7"/>
    </row>
    <row r="10" spans="1:19" x14ac:dyDescent="0.35">
      <c r="A10" s="7"/>
      <c r="B10" s="7"/>
      <c r="C10" s="7"/>
      <c r="D10" s="7"/>
      <c r="E10" s="7"/>
      <c r="F10" s="7"/>
      <c r="G10" s="7"/>
      <c r="H10" s="7"/>
      <c r="I10" s="7"/>
      <c r="J10" s="7"/>
      <c r="K10" s="7"/>
      <c r="L10" s="7"/>
      <c r="M10" s="7"/>
      <c r="N10" s="7"/>
      <c r="O10" s="7"/>
      <c r="P10" s="7"/>
      <c r="Q10" s="7"/>
      <c r="R10" s="7"/>
      <c r="S10" s="7"/>
    </row>
    <row r="11" spans="1:19" x14ac:dyDescent="0.35">
      <c r="A11" s="7"/>
      <c r="B11" s="7"/>
      <c r="C11" s="7"/>
      <c r="D11" s="7"/>
      <c r="E11" s="7"/>
      <c r="F11" s="7"/>
      <c r="G11" s="7"/>
      <c r="H11" s="7"/>
      <c r="I11" s="7"/>
      <c r="J11" s="7"/>
      <c r="K11" s="7"/>
      <c r="L11" s="7"/>
      <c r="M11" s="7"/>
      <c r="N11" s="7"/>
      <c r="O11" s="7"/>
      <c r="P11" s="7"/>
      <c r="Q11" s="7"/>
      <c r="R11" s="7"/>
      <c r="S11" s="7"/>
    </row>
    <row r="12" spans="1:19" x14ac:dyDescent="0.35">
      <c r="A12" s="7"/>
      <c r="B12" s="7"/>
      <c r="C12" s="7"/>
      <c r="D12" s="7"/>
      <c r="E12" s="7"/>
      <c r="F12" s="7"/>
      <c r="G12" s="7"/>
      <c r="H12" s="7"/>
      <c r="I12" s="7"/>
      <c r="J12" s="7"/>
      <c r="K12" s="7"/>
      <c r="L12" s="7"/>
      <c r="M12" s="7"/>
      <c r="N12" s="7"/>
      <c r="O12" s="7"/>
      <c r="P12" s="7"/>
      <c r="Q12" s="7"/>
      <c r="R12" s="7"/>
      <c r="S12" s="7"/>
    </row>
    <row r="13" spans="1:19" x14ac:dyDescent="0.35">
      <c r="A13" s="7"/>
      <c r="B13" s="7"/>
      <c r="C13" s="7"/>
      <c r="D13" s="7"/>
      <c r="E13" s="7"/>
      <c r="F13" s="7"/>
      <c r="G13" s="7"/>
      <c r="H13" s="7"/>
      <c r="I13" s="7"/>
      <c r="J13" s="7"/>
      <c r="K13" s="7"/>
      <c r="L13" s="7"/>
      <c r="M13" s="7"/>
      <c r="N13" s="7"/>
      <c r="O13" s="7"/>
      <c r="P13" s="7"/>
      <c r="Q13" s="7"/>
      <c r="R13" s="7"/>
      <c r="S13" s="7"/>
    </row>
    <row r="14" spans="1:19" x14ac:dyDescent="0.35">
      <c r="A14" s="7"/>
      <c r="B14" s="7"/>
      <c r="C14" s="7"/>
      <c r="D14" s="7"/>
      <c r="E14" s="7"/>
      <c r="F14" s="7"/>
      <c r="G14" s="7"/>
      <c r="H14" s="7"/>
      <c r="I14" s="7"/>
      <c r="J14" s="7"/>
      <c r="K14" s="7"/>
      <c r="L14" s="7"/>
      <c r="M14" s="7"/>
      <c r="N14" s="7"/>
      <c r="O14" s="7"/>
      <c r="P14" s="7"/>
      <c r="Q14" s="7"/>
      <c r="R14" s="7"/>
      <c r="S14" s="7"/>
    </row>
    <row r="15" spans="1:19" x14ac:dyDescent="0.35">
      <c r="A15" s="7"/>
      <c r="B15" s="7"/>
      <c r="C15" s="7"/>
      <c r="D15" s="7"/>
      <c r="E15" s="7"/>
      <c r="F15" s="7"/>
      <c r="G15" s="7"/>
      <c r="H15" s="7"/>
      <c r="I15" s="7"/>
      <c r="J15" s="7"/>
      <c r="K15" s="7"/>
      <c r="L15" s="7"/>
      <c r="M15" s="7"/>
      <c r="N15" s="7"/>
      <c r="O15" s="7"/>
      <c r="P15" s="7"/>
      <c r="Q15" s="7"/>
      <c r="R15" s="7"/>
      <c r="S15" s="7"/>
    </row>
    <row r="16" spans="1:19" x14ac:dyDescent="0.35">
      <c r="A16" s="7"/>
      <c r="B16" s="7"/>
      <c r="C16" s="7"/>
      <c r="D16" s="7"/>
      <c r="E16" s="7"/>
      <c r="F16" s="7"/>
      <c r="G16" s="7"/>
      <c r="H16" s="7"/>
      <c r="I16" s="7"/>
      <c r="J16" s="7"/>
      <c r="K16" s="7"/>
      <c r="L16" s="7"/>
      <c r="M16" s="7"/>
      <c r="N16" s="7"/>
      <c r="O16" s="7"/>
      <c r="P16" s="7"/>
      <c r="Q16" s="7"/>
      <c r="R16" s="7"/>
      <c r="S16" s="7"/>
    </row>
    <row r="17" spans="1:19" x14ac:dyDescent="0.35">
      <c r="A17" s="7"/>
      <c r="B17" s="7"/>
      <c r="C17" s="7"/>
      <c r="D17" s="7"/>
      <c r="E17" s="7"/>
      <c r="F17" s="7"/>
      <c r="G17" s="7"/>
      <c r="H17" s="7"/>
      <c r="I17" s="7"/>
      <c r="J17" s="7"/>
      <c r="K17" s="7"/>
      <c r="L17" s="7"/>
      <c r="M17" s="7"/>
      <c r="N17" s="7"/>
      <c r="O17" s="7"/>
      <c r="P17" s="7"/>
      <c r="Q17" s="7"/>
      <c r="R17" s="7"/>
      <c r="S17" s="7"/>
    </row>
    <row r="18" spans="1:19" x14ac:dyDescent="0.35">
      <c r="A18" s="7"/>
      <c r="B18" s="7"/>
      <c r="C18" s="7"/>
      <c r="D18" s="7"/>
      <c r="E18" s="7"/>
      <c r="F18" s="7"/>
      <c r="G18" s="7"/>
      <c r="H18" s="7"/>
      <c r="I18" s="7"/>
      <c r="J18" s="7"/>
      <c r="K18" s="7"/>
      <c r="L18" s="7"/>
      <c r="M18" s="7"/>
      <c r="N18" s="7"/>
      <c r="O18" s="7"/>
      <c r="P18" s="7"/>
      <c r="Q18" s="7"/>
      <c r="R18" s="7"/>
      <c r="S18" s="7"/>
    </row>
    <row r="19" spans="1:19" x14ac:dyDescent="0.35">
      <c r="A19" s="7"/>
      <c r="B19" s="7"/>
      <c r="C19" s="7"/>
      <c r="D19" s="7"/>
      <c r="E19" s="7"/>
      <c r="F19" s="7"/>
      <c r="G19" s="7"/>
      <c r="H19" s="7"/>
      <c r="I19" s="7"/>
      <c r="J19" s="7"/>
      <c r="K19" s="7"/>
      <c r="L19" s="7"/>
      <c r="M19" s="7"/>
      <c r="N19" s="7"/>
      <c r="O19" s="7"/>
      <c r="P19" s="7"/>
      <c r="Q19" s="7"/>
      <c r="R19" s="7"/>
      <c r="S19" s="7"/>
    </row>
    <row r="20" spans="1:19" x14ac:dyDescent="0.35">
      <c r="A20" s="7"/>
      <c r="B20" s="7"/>
      <c r="C20" s="7"/>
      <c r="D20" s="7"/>
      <c r="E20" s="7"/>
      <c r="F20" s="7"/>
      <c r="G20" s="7"/>
      <c r="H20" s="7"/>
      <c r="I20" s="7"/>
      <c r="J20" s="7"/>
      <c r="K20" s="7"/>
      <c r="L20" s="7"/>
      <c r="M20" s="7"/>
      <c r="N20" s="7"/>
      <c r="O20" s="7"/>
      <c r="P20" s="7"/>
      <c r="Q20" s="7"/>
      <c r="R20" s="7"/>
      <c r="S20" s="7"/>
    </row>
    <row r="21" spans="1:19" x14ac:dyDescent="0.35">
      <c r="A21" s="7"/>
      <c r="B21" s="7"/>
      <c r="C21" s="7"/>
      <c r="D21" s="7"/>
      <c r="E21" s="7"/>
      <c r="F21" s="7"/>
      <c r="G21" s="7"/>
      <c r="H21" s="7"/>
      <c r="I21" s="7"/>
      <c r="J21" s="7"/>
      <c r="K21" s="7"/>
      <c r="L21" s="7"/>
      <c r="M21" s="7"/>
      <c r="N21" s="7"/>
      <c r="O21" s="7"/>
      <c r="P21" s="7"/>
      <c r="Q21" s="7"/>
      <c r="R21" s="7"/>
      <c r="S21" s="7"/>
    </row>
    <row r="22" spans="1:19" x14ac:dyDescent="0.35">
      <c r="A22" s="7"/>
      <c r="B22" s="7"/>
      <c r="C22" s="7"/>
      <c r="D22" s="7"/>
      <c r="E22" s="7"/>
      <c r="F22" s="7"/>
      <c r="G22" s="7"/>
      <c r="H22" s="7"/>
      <c r="I22" s="7"/>
      <c r="J22" s="7"/>
      <c r="K22" s="7"/>
      <c r="L22" s="7"/>
      <c r="M22" s="7"/>
      <c r="N22" s="7"/>
      <c r="O22" s="7"/>
      <c r="P22" s="7"/>
      <c r="Q22" s="7"/>
      <c r="R22" s="7"/>
      <c r="S22" s="7"/>
    </row>
    <row r="23" spans="1:19" x14ac:dyDescent="0.35">
      <c r="A23" s="7"/>
      <c r="B23" s="7"/>
      <c r="C23" s="7"/>
      <c r="D23" s="7"/>
      <c r="E23" s="7"/>
      <c r="F23" s="7"/>
      <c r="G23" s="7"/>
      <c r="H23" s="7"/>
      <c r="I23" s="7"/>
      <c r="J23" s="7"/>
      <c r="K23" s="7"/>
      <c r="L23" s="7"/>
      <c r="M23" s="7"/>
      <c r="N23" s="7"/>
      <c r="O23" s="7"/>
      <c r="P23" s="7"/>
      <c r="Q23" s="7"/>
      <c r="R23" s="7"/>
      <c r="S23" s="7"/>
    </row>
    <row r="24" spans="1:19" x14ac:dyDescent="0.35">
      <c r="A24" s="7"/>
      <c r="B24" s="7"/>
      <c r="C24" s="7"/>
      <c r="D24" s="7"/>
      <c r="E24" s="7"/>
      <c r="F24" s="7"/>
      <c r="G24" s="7"/>
      <c r="H24" s="7"/>
      <c r="I24" s="7"/>
      <c r="J24" s="7"/>
      <c r="K24" s="7"/>
      <c r="L24" s="7"/>
      <c r="M24" s="7"/>
      <c r="N24" s="7"/>
      <c r="O24" s="7"/>
      <c r="P24" s="7"/>
      <c r="Q24" s="7"/>
      <c r="R24" s="7"/>
      <c r="S24" s="7"/>
    </row>
    <row r="25" spans="1:19" x14ac:dyDescent="0.35">
      <c r="A25" s="7"/>
      <c r="B25" s="7"/>
      <c r="C25" s="7"/>
      <c r="D25" s="7"/>
      <c r="E25" s="7"/>
      <c r="F25" s="7"/>
      <c r="G25" s="7"/>
      <c r="H25" s="7"/>
      <c r="I25" s="7"/>
      <c r="J25" s="7"/>
      <c r="K25" s="7"/>
      <c r="L25" s="7"/>
      <c r="M25" s="7"/>
      <c r="N25" s="7"/>
      <c r="O25" s="7"/>
      <c r="P25" s="7"/>
      <c r="Q25" s="7"/>
      <c r="R25" s="7"/>
      <c r="S25" s="7"/>
    </row>
    <row r="26" spans="1:19" x14ac:dyDescent="0.35">
      <c r="A26" s="7"/>
      <c r="B26" s="7"/>
      <c r="C26" s="7"/>
      <c r="D26" s="7"/>
      <c r="E26" s="7"/>
      <c r="F26" s="7"/>
      <c r="G26" s="7"/>
      <c r="H26" s="7"/>
      <c r="I26" s="7"/>
      <c r="J26" s="7"/>
      <c r="K26" s="7"/>
      <c r="L26" s="7"/>
      <c r="M26" s="7"/>
      <c r="N26" s="7"/>
      <c r="O26" s="7"/>
      <c r="P26" s="7"/>
      <c r="Q26" s="7"/>
      <c r="R26" s="7"/>
      <c r="S26" s="7"/>
    </row>
    <row r="27" spans="1:19" x14ac:dyDescent="0.35">
      <c r="A27" s="7"/>
      <c r="B27" s="7"/>
      <c r="C27" s="7"/>
      <c r="D27" s="7"/>
      <c r="E27" s="7"/>
      <c r="F27" s="7"/>
      <c r="G27" s="7"/>
      <c r="H27" s="7"/>
      <c r="I27" s="7"/>
      <c r="J27" s="7"/>
      <c r="K27" s="7"/>
      <c r="L27" s="7"/>
      <c r="M27" s="7"/>
      <c r="N27" s="7"/>
      <c r="O27" s="7"/>
      <c r="P27" s="7"/>
      <c r="Q27" s="7"/>
      <c r="R27" s="7"/>
      <c r="S27"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395030B-A00F-4D79-AEC1-6FFC549F964D}">
  <ds:schemaRefs/>
</ds:datastoreItem>
</file>

<file path=customXml/itemProps2.xml><?xml version="1.0" encoding="utf-8"?>
<ds:datastoreItem xmlns:ds="http://schemas.openxmlformats.org/officeDocument/2006/customXml" ds:itemID="{56DD8D9E-97FA-4175-8D98-2EF4C515334D}">
  <ds:schemaRefs/>
</ds:datastoreItem>
</file>

<file path=customXml/itemProps3.xml><?xml version="1.0" encoding="utf-8"?>
<ds:datastoreItem xmlns:ds="http://schemas.openxmlformats.org/officeDocument/2006/customXml" ds:itemID="{5BC326BF-FE0C-4609-9624-67E72351AE19}">
  <ds:schemaRefs/>
</ds:datastoreItem>
</file>

<file path=customXml/itemProps4.xml><?xml version="1.0" encoding="utf-8"?>
<ds:datastoreItem xmlns:ds="http://schemas.openxmlformats.org/officeDocument/2006/customXml" ds:itemID="{72F31856-E239-4588-87FD-6584616F2BF1}">
  <ds:schemaRefs/>
</ds:datastoreItem>
</file>

<file path=customXml/itemProps5.xml><?xml version="1.0" encoding="utf-8"?>
<ds:datastoreItem xmlns:ds="http://schemas.openxmlformats.org/officeDocument/2006/customXml" ds:itemID="{F7B8B637-A6E4-413E-927C-723096D92684}">
  <ds:schemaRefs/>
</ds:datastoreItem>
</file>

<file path=customXml/itemProps6.xml><?xml version="1.0" encoding="utf-8"?>
<ds:datastoreItem xmlns:ds="http://schemas.openxmlformats.org/officeDocument/2006/customXml" ds:itemID="{A883E250-5E8A-4C65-BB50-56372010E3FC}">
  <ds:schemaRefs/>
</ds:datastoreItem>
</file>

<file path=customXml/itemProps7.xml><?xml version="1.0" encoding="utf-8"?>
<ds:datastoreItem xmlns:ds="http://schemas.openxmlformats.org/officeDocument/2006/customXml" ds:itemID="{47198B17-A966-4411-847A-A9DA7A9129DE}">
  <ds:schemaRefs/>
</ds:datastoreItem>
</file>

<file path=customXml/itemProps8.xml><?xml version="1.0" encoding="utf-8"?>
<ds:datastoreItem xmlns:ds="http://schemas.openxmlformats.org/officeDocument/2006/customXml" ds:itemID="{F29EB986-9FF7-4AD3-AF97-319BBE3AE1F5}">
  <ds:schemaRefs/>
</ds:datastoreItem>
</file>

<file path=customXml/itemProps9.xml><?xml version="1.0" encoding="utf-8"?>
<ds:datastoreItem xmlns:ds="http://schemas.openxmlformats.org/officeDocument/2006/customXml" ds:itemID="{F84AC831-314E-44A5-AF38-41DEBBCD3544}">
  <ds:schemaRefs/>
</ds:datastoreItem>
</file>

<file path=customXml/itemProps10.xml><?xml version="1.0" encoding="utf-8"?>
<ds:datastoreItem xmlns:ds="http://schemas.openxmlformats.org/officeDocument/2006/customXml" ds:itemID="{76BC651E-469E-446F-9F92-CEE3637213BA}">
  <ds:schemaRefs>
    <ds:schemaRef ds:uri="http://schemas.microsoft.com/DataMashup"/>
  </ds:schemaRefs>
</ds:datastoreItem>
</file>

<file path=customXml/itemProps11.xml><?xml version="1.0" encoding="utf-8"?>
<ds:datastoreItem xmlns:ds="http://schemas.openxmlformats.org/officeDocument/2006/customXml" ds:itemID="{8F7F5E42-BA54-44FC-A420-32844C2F1CC1}">
  <ds:schemaRefs/>
</ds:datastoreItem>
</file>

<file path=customXml/itemProps12.xml><?xml version="1.0" encoding="utf-8"?>
<ds:datastoreItem xmlns:ds="http://schemas.openxmlformats.org/officeDocument/2006/customXml" ds:itemID="{359566C3-6536-4772-BC9C-FAD674D142F1}">
  <ds:schemaRefs/>
</ds:datastoreItem>
</file>

<file path=customXml/itemProps13.xml><?xml version="1.0" encoding="utf-8"?>
<ds:datastoreItem xmlns:ds="http://schemas.openxmlformats.org/officeDocument/2006/customXml" ds:itemID="{364B07C8-86DE-45E1-BAE3-C64B56EEFF26}">
  <ds:schemaRefs/>
</ds:datastoreItem>
</file>

<file path=customXml/itemProps14.xml><?xml version="1.0" encoding="utf-8"?>
<ds:datastoreItem xmlns:ds="http://schemas.openxmlformats.org/officeDocument/2006/customXml" ds:itemID="{F65C866A-5E71-4C74-91D8-E156A6984311}">
  <ds:schemaRefs/>
</ds:datastoreItem>
</file>

<file path=customXml/itemProps15.xml><?xml version="1.0" encoding="utf-8"?>
<ds:datastoreItem xmlns:ds="http://schemas.openxmlformats.org/officeDocument/2006/customXml" ds:itemID="{4AFF7B1B-4C66-47FD-BFA9-6946EF4A3C54}">
  <ds:schemaRefs/>
</ds:datastoreItem>
</file>

<file path=customXml/itemProps16.xml><?xml version="1.0" encoding="utf-8"?>
<ds:datastoreItem xmlns:ds="http://schemas.openxmlformats.org/officeDocument/2006/customXml" ds:itemID="{4D1C69DA-5E85-41CC-9926-B9708E580F5F}">
  <ds:schemaRefs/>
</ds:datastoreItem>
</file>

<file path=customXml/itemProps17.xml><?xml version="1.0" encoding="utf-8"?>
<ds:datastoreItem xmlns:ds="http://schemas.openxmlformats.org/officeDocument/2006/customXml" ds:itemID="{EC84AD37-EF43-4CB0-ABA9-6FEBDC87FC5F}">
  <ds:schemaRefs/>
</ds:datastoreItem>
</file>

<file path=customXml/itemProps18.xml><?xml version="1.0" encoding="utf-8"?>
<ds:datastoreItem xmlns:ds="http://schemas.openxmlformats.org/officeDocument/2006/customXml" ds:itemID="{FC6A7ACE-8FB1-4057-8CFE-FC98412234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sunakshi chauhan</dc:creator>
  <cp:lastModifiedBy>sunakshi chauhan</cp:lastModifiedBy>
  <dcterms:created xsi:type="dcterms:W3CDTF">2026-09-25T08:49:34Z</dcterms:created>
  <dcterms:modified xsi:type="dcterms:W3CDTF">2026-09-25T15:50:40Z</dcterms:modified>
</cp:coreProperties>
</file>