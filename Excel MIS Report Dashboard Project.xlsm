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cddf8050c0c619f/Documents/"/>
    </mc:Choice>
  </mc:AlternateContent>
  <xr:revisionPtr revIDLastSave="32" documentId="8_{F7E9F4E2-1247-4CAD-A836-6703825756C6}" xr6:coauthVersionLast="47" xr6:coauthVersionMax="47" xr10:uidLastSave="{11C58432-60DB-4BF5-943F-5EFAECB0192D}"/>
  <bookViews>
    <workbookView xWindow="-110" yWindow="-110" windowWidth="19420" windowHeight="10300" xr2:uid="{6686BA24-72F5-4D9B-AD6D-2B11DC1147C8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  <externalReference r:id="rId7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G150" i="4" l="1"/>
  <c r="F150" i="4"/>
  <c r="E150" i="4"/>
  <c r="D150" i="4"/>
  <c r="A150" i="4"/>
  <c r="C150" i="4" s="1"/>
  <c r="F149" i="4"/>
  <c r="E149" i="4"/>
  <c r="D149" i="4"/>
  <c r="C149" i="4"/>
  <c r="A149" i="4"/>
  <c r="B149" i="4" s="1"/>
  <c r="E148" i="4"/>
  <c r="D148" i="4"/>
  <c r="C148" i="4"/>
  <c r="B148" i="4"/>
  <c r="A148" i="4"/>
  <c r="G148" i="4" s="1"/>
  <c r="D147" i="4"/>
  <c r="A147" i="4"/>
  <c r="B146" i="4"/>
  <c r="A146" i="4"/>
  <c r="G145" i="4"/>
  <c r="B145" i="4"/>
  <c r="A145" i="4"/>
  <c r="A144" i="4"/>
  <c r="G143" i="4"/>
  <c r="F143" i="4"/>
  <c r="E143" i="4"/>
  <c r="D143" i="4"/>
  <c r="C143" i="4"/>
  <c r="B143" i="4"/>
  <c r="A143" i="4"/>
  <c r="G142" i="4"/>
  <c r="F142" i="4"/>
  <c r="E142" i="4"/>
  <c r="D142" i="4"/>
  <c r="C142" i="4"/>
  <c r="B142" i="4"/>
  <c r="A142" i="4"/>
  <c r="D141" i="4"/>
  <c r="C141" i="4"/>
  <c r="B141" i="4"/>
  <c r="A141" i="4"/>
  <c r="B140" i="4"/>
  <c r="A140" i="4"/>
  <c r="G139" i="4"/>
  <c r="F139" i="4"/>
  <c r="A139" i="4"/>
  <c r="E139" i="4" s="1"/>
  <c r="G138" i="4"/>
  <c r="F138" i="4"/>
  <c r="E138" i="4"/>
  <c r="C138" i="4"/>
  <c r="B138" i="4"/>
  <c r="A138" i="4"/>
  <c r="D138" i="4" s="1"/>
  <c r="A137" i="4"/>
  <c r="D137" i="4" s="1"/>
  <c r="A136" i="4"/>
  <c r="G135" i="4"/>
  <c r="F135" i="4"/>
  <c r="E135" i="4"/>
  <c r="D135" i="4"/>
  <c r="C135" i="4"/>
  <c r="B135" i="4"/>
  <c r="A135" i="4"/>
  <c r="G134" i="4"/>
  <c r="F134" i="4"/>
  <c r="E134" i="4"/>
  <c r="A134" i="4"/>
  <c r="D134" i="4" s="1"/>
  <c r="F133" i="4"/>
  <c r="E133" i="4"/>
  <c r="D133" i="4"/>
  <c r="C133" i="4"/>
  <c r="B133" i="4"/>
  <c r="A133" i="4"/>
  <c r="G133" i="4" s="1"/>
  <c r="C132" i="4"/>
  <c r="B132" i="4"/>
  <c r="A132" i="4"/>
  <c r="B131" i="4"/>
  <c r="A131" i="4"/>
  <c r="G130" i="4"/>
  <c r="F130" i="4"/>
  <c r="A130" i="4"/>
  <c r="D130" i="4" s="1"/>
  <c r="G129" i="4"/>
  <c r="F129" i="4"/>
  <c r="E129" i="4"/>
  <c r="D129" i="4"/>
  <c r="B129" i="4"/>
  <c r="A129" i="4"/>
  <c r="C129" i="4" s="1"/>
  <c r="A128" i="4"/>
  <c r="G127" i="4"/>
  <c r="F127" i="4"/>
  <c r="E127" i="4"/>
  <c r="D127" i="4"/>
  <c r="C127" i="4"/>
  <c r="B127" i="4"/>
  <c r="A127" i="4"/>
  <c r="A126" i="4"/>
  <c r="F125" i="4"/>
  <c r="E125" i="4"/>
  <c r="A125" i="4"/>
  <c r="G125" i="4" s="1"/>
  <c r="G124" i="4"/>
  <c r="E124" i="4"/>
  <c r="D124" i="4"/>
  <c r="C124" i="4"/>
  <c r="B124" i="4"/>
  <c r="A124" i="4"/>
  <c r="F124" i="4" s="1"/>
  <c r="A123" i="4"/>
  <c r="A122" i="4"/>
  <c r="G121" i="4"/>
  <c r="F121" i="4"/>
  <c r="A121" i="4"/>
  <c r="C121" i="4" s="1"/>
  <c r="G120" i="4"/>
  <c r="F120" i="4"/>
  <c r="E120" i="4"/>
  <c r="D120" i="4"/>
  <c r="C120" i="4"/>
  <c r="A120" i="4"/>
  <c r="B120" i="4" s="1"/>
  <c r="G119" i="4"/>
  <c r="F119" i="4"/>
  <c r="E119" i="4"/>
  <c r="D119" i="4"/>
  <c r="C119" i="4"/>
  <c r="B119" i="4"/>
  <c r="A119" i="4"/>
  <c r="E118" i="4"/>
  <c r="A118" i="4"/>
  <c r="A117" i="4"/>
  <c r="G116" i="4"/>
  <c r="A116" i="4"/>
  <c r="G115" i="4"/>
  <c r="F115" i="4"/>
  <c r="D115" i="4"/>
  <c r="C115" i="4"/>
  <c r="B115" i="4"/>
  <c r="A115" i="4"/>
  <c r="E115" i="4" s="1"/>
  <c r="A114" i="4"/>
  <c r="A113" i="4"/>
  <c r="A112" i="4"/>
  <c r="G111" i="4"/>
  <c r="F111" i="4"/>
  <c r="E111" i="4"/>
  <c r="D111" i="4"/>
  <c r="C111" i="4"/>
  <c r="B111" i="4"/>
  <c r="A111" i="4"/>
  <c r="G110" i="4"/>
  <c r="F110" i="4"/>
  <c r="E110" i="4"/>
  <c r="D110" i="4"/>
  <c r="C110" i="4"/>
  <c r="B110" i="4"/>
  <c r="A110" i="4"/>
  <c r="A109" i="4"/>
  <c r="C108" i="4"/>
  <c r="B108" i="4"/>
  <c r="A108" i="4"/>
  <c r="A107" i="4"/>
  <c r="G106" i="4"/>
  <c r="F106" i="4"/>
  <c r="E106" i="4"/>
  <c r="C106" i="4"/>
  <c r="B106" i="4"/>
  <c r="A106" i="4"/>
  <c r="D106" i="4" s="1"/>
  <c r="B105" i="4"/>
  <c r="A105" i="4"/>
  <c r="D105" i="4" s="1"/>
  <c r="D104" i="4"/>
  <c r="A104" i="4"/>
  <c r="G103" i="4"/>
  <c r="F103" i="4"/>
  <c r="E103" i="4"/>
  <c r="D103" i="4"/>
  <c r="C103" i="4"/>
  <c r="B103" i="4"/>
  <c r="A103" i="4"/>
  <c r="A102" i="4"/>
  <c r="F101" i="4"/>
  <c r="E101" i="4"/>
  <c r="D101" i="4"/>
  <c r="C101" i="4"/>
  <c r="B101" i="4"/>
  <c r="A101" i="4"/>
  <c r="G101" i="4" s="1"/>
  <c r="B100" i="4"/>
  <c r="A100" i="4"/>
  <c r="A99" i="4"/>
  <c r="A98" i="4"/>
  <c r="G97" i="4"/>
  <c r="F97" i="4"/>
  <c r="E97" i="4"/>
  <c r="D97" i="4"/>
  <c r="A97" i="4"/>
  <c r="C97" i="4" s="1"/>
  <c r="E96" i="4"/>
  <c r="C96" i="4"/>
  <c r="A96" i="4"/>
  <c r="D96" i="4" s="1"/>
  <c r="G95" i="4"/>
  <c r="F95" i="4"/>
  <c r="E95" i="4"/>
  <c r="D95" i="4"/>
  <c r="C95" i="4"/>
  <c r="B95" i="4"/>
  <c r="A95" i="4"/>
  <c r="G94" i="4"/>
  <c r="A94" i="4"/>
  <c r="F93" i="4"/>
  <c r="E93" i="4"/>
  <c r="D93" i="4"/>
  <c r="A93" i="4"/>
  <c r="C92" i="4"/>
  <c r="B92" i="4"/>
  <c r="A92" i="4"/>
  <c r="D92" i="4" s="1"/>
  <c r="A91" i="4"/>
  <c r="G90" i="4"/>
  <c r="F90" i="4"/>
  <c r="C90" i="4"/>
  <c r="A90" i="4"/>
  <c r="E89" i="4"/>
  <c r="D89" i="4"/>
  <c r="A89" i="4"/>
  <c r="A88" i="4"/>
  <c r="G87" i="4"/>
  <c r="F87" i="4"/>
  <c r="E87" i="4"/>
  <c r="D87" i="4"/>
  <c r="C87" i="4"/>
  <c r="B87" i="4"/>
  <c r="A87" i="4"/>
  <c r="G86" i="4"/>
  <c r="E86" i="4"/>
  <c r="D86" i="4"/>
  <c r="C86" i="4"/>
  <c r="A86" i="4"/>
  <c r="F86" i="4" s="1"/>
  <c r="C85" i="4"/>
  <c r="A85" i="4"/>
  <c r="G84" i="4"/>
  <c r="A84" i="4"/>
  <c r="G83" i="4"/>
  <c r="F83" i="4"/>
  <c r="D83" i="4"/>
  <c r="C83" i="4"/>
  <c r="A83" i="4"/>
  <c r="E83" i="4" s="1"/>
  <c r="B82" i="4"/>
  <c r="A82" i="4"/>
  <c r="G81" i="4"/>
  <c r="A81" i="4"/>
  <c r="G80" i="4"/>
  <c r="F80" i="4"/>
  <c r="E80" i="4"/>
  <c r="D80" i="4"/>
  <c r="A80" i="4"/>
  <c r="G79" i="4"/>
  <c r="F79" i="4"/>
  <c r="E79" i="4"/>
  <c r="D79" i="4"/>
  <c r="C79" i="4"/>
  <c r="B79" i="4"/>
  <c r="A79" i="4"/>
  <c r="A78" i="4"/>
  <c r="E77" i="4"/>
  <c r="A77" i="4"/>
  <c r="G76" i="4"/>
  <c r="E76" i="4"/>
  <c r="C76" i="4"/>
  <c r="B76" i="4"/>
  <c r="A76" i="4"/>
  <c r="C75" i="4"/>
  <c r="A75" i="4"/>
  <c r="G74" i="4"/>
  <c r="F74" i="4"/>
  <c r="A74" i="4"/>
  <c r="D74" i="4" s="1"/>
  <c r="F73" i="4"/>
  <c r="E73" i="4"/>
  <c r="D73" i="4"/>
  <c r="B73" i="4"/>
  <c r="A73" i="4"/>
  <c r="C72" i="4"/>
  <c r="A72" i="4"/>
  <c r="G71" i="4"/>
  <c r="F71" i="4"/>
  <c r="E71" i="4"/>
  <c r="D71" i="4"/>
  <c r="C71" i="4"/>
  <c r="B71" i="4"/>
  <c r="A71" i="4"/>
  <c r="G70" i="4"/>
  <c r="F70" i="4"/>
  <c r="E70" i="4"/>
  <c r="C70" i="4"/>
  <c r="A70" i="4"/>
  <c r="B70" i="4" s="1"/>
  <c r="F69" i="4"/>
  <c r="E69" i="4"/>
  <c r="D69" i="4"/>
  <c r="C69" i="4"/>
  <c r="B69" i="4"/>
  <c r="A69" i="4"/>
  <c r="G69" i="4" s="1"/>
  <c r="B68" i="4"/>
  <c r="A68" i="4"/>
  <c r="G67" i="4"/>
  <c r="F67" i="4"/>
  <c r="B67" i="4"/>
  <c r="A67" i="4"/>
  <c r="E66" i="4"/>
  <c r="C66" i="4"/>
  <c r="A66" i="4"/>
  <c r="B65" i="4"/>
  <c r="A65" i="4"/>
  <c r="F64" i="4"/>
  <c r="E64" i="4"/>
  <c r="C64" i="4"/>
  <c r="A64" i="4"/>
  <c r="G63" i="4"/>
  <c r="F63" i="4"/>
  <c r="E63" i="4"/>
  <c r="D63" i="4"/>
  <c r="C63" i="4"/>
  <c r="B63" i="4"/>
  <c r="A63" i="4"/>
  <c r="A62" i="4"/>
  <c r="C62" i="4" s="1"/>
  <c r="A61" i="4"/>
  <c r="G60" i="4"/>
  <c r="E60" i="4"/>
  <c r="D60" i="4"/>
  <c r="B60" i="4"/>
  <c r="A60" i="4"/>
  <c r="F60" i="4" s="1"/>
  <c r="A59" i="4"/>
  <c r="B59" i="4" s="1"/>
  <c r="A58" i="4"/>
  <c r="G57" i="4"/>
  <c r="F57" i="4"/>
  <c r="E57" i="4"/>
  <c r="A57" i="4"/>
  <c r="E56" i="4"/>
  <c r="C56" i="4"/>
  <c r="A56" i="4"/>
  <c r="D56" i="4" s="1"/>
  <c r="G55" i="4"/>
  <c r="F55" i="4"/>
  <c r="E55" i="4"/>
  <c r="D55" i="4"/>
  <c r="C55" i="4"/>
  <c r="B55" i="4"/>
  <c r="A55" i="4"/>
  <c r="G54" i="4"/>
  <c r="A54" i="4"/>
  <c r="F53" i="4"/>
  <c r="E53" i="4"/>
  <c r="C53" i="4"/>
  <c r="A53" i="4"/>
  <c r="C52" i="4"/>
  <c r="A52" i="4"/>
  <c r="D52" i="4" s="1"/>
  <c r="A51" i="4"/>
  <c r="F50" i="4"/>
  <c r="E50" i="4"/>
  <c r="C50" i="4"/>
  <c r="A50" i="4"/>
  <c r="D49" i="4"/>
  <c r="B49" i="4"/>
  <c r="A49" i="4"/>
  <c r="G48" i="4"/>
  <c r="A48" i="4"/>
  <c r="G47" i="4"/>
  <c r="F47" i="4"/>
  <c r="E47" i="4"/>
  <c r="D47" i="4"/>
  <c r="C47" i="4"/>
  <c r="B47" i="4"/>
  <c r="A47" i="4"/>
  <c r="G46" i="4"/>
  <c r="F46" i="4"/>
  <c r="E46" i="4"/>
  <c r="D46" i="4"/>
  <c r="C46" i="4"/>
  <c r="A46" i="4"/>
  <c r="B46" i="4" s="1"/>
  <c r="A45" i="4"/>
  <c r="G44" i="4"/>
  <c r="A44" i="4"/>
  <c r="B44" i="4" s="1"/>
  <c r="G43" i="4"/>
  <c r="F43" i="4"/>
  <c r="D43" i="4"/>
  <c r="C43" i="4"/>
  <c r="A43" i="4"/>
  <c r="A42" i="4"/>
  <c r="B42" i="4" s="1"/>
  <c r="F41" i="4"/>
  <c r="A41" i="4"/>
  <c r="G40" i="4"/>
  <c r="F40" i="4"/>
  <c r="D40" i="4"/>
  <c r="C40" i="4"/>
  <c r="A40" i="4"/>
  <c r="G39" i="4"/>
  <c r="F39" i="4"/>
  <c r="E39" i="4"/>
  <c r="D39" i="4"/>
  <c r="C39" i="4"/>
  <c r="B39" i="4"/>
  <c r="A39" i="4"/>
  <c r="A38" i="4"/>
  <c r="C38" i="4" s="1"/>
  <c r="F37" i="4"/>
  <c r="E37" i="4"/>
  <c r="A37" i="4"/>
  <c r="G37" i="4" s="1"/>
  <c r="F36" i="4"/>
  <c r="E36" i="4"/>
  <c r="D36" i="4"/>
  <c r="C36" i="4"/>
  <c r="A36" i="4"/>
  <c r="G36" i="4" s="1"/>
  <c r="C35" i="4"/>
  <c r="B35" i="4"/>
  <c r="A35" i="4"/>
  <c r="D35" i="4" s="1"/>
  <c r="A34" i="4"/>
  <c r="G33" i="4"/>
  <c r="F33" i="4"/>
  <c r="A33" i="4"/>
  <c r="D33" i="4" s="1"/>
  <c r="G32" i="4"/>
  <c r="F32" i="4"/>
  <c r="E32" i="4"/>
  <c r="D32" i="4"/>
  <c r="A32" i="4"/>
  <c r="C32" i="4" s="1"/>
  <c r="A31" i="4"/>
  <c r="G30" i="4"/>
  <c r="F30" i="4"/>
  <c r="E30" i="4"/>
  <c r="D30" i="4"/>
  <c r="C30" i="4"/>
  <c r="B30" i="4"/>
  <c r="A30" i="4"/>
  <c r="G29" i="4"/>
  <c r="B29" i="4"/>
  <c r="A29" i="4"/>
  <c r="F28" i="4"/>
  <c r="E28" i="4"/>
  <c r="A28" i="4"/>
  <c r="G28" i="4" s="1"/>
  <c r="G27" i="4"/>
  <c r="E27" i="4"/>
  <c r="D27" i="4"/>
  <c r="C27" i="4"/>
  <c r="A27" i="4"/>
  <c r="F27" i="4" s="1"/>
  <c r="A26" i="4"/>
  <c r="B26" i="4" s="1"/>
  <c r="A25" i="4"/>
  <c r="B25" i="4" s="1"/>
  <c r="G24" i="4"/>
  <c r="F24" i="4"/>
  <c r="A24" i="4"/>
  <c r="C24" i="4" s="1"/>
  <c r="G23" i="4"/>
  <c r="F23" i="4"/>
  <c r="E23" i="4"/>
  <c r="D23" i="4"/>
  <c r="A23" i="4"/>
  <c r="B23" i="4" s="1"/>
  <c r="G22" i="4"/>
  <c r="F22" i="4"/>
  <c r="E22" i="4"/>
  <c r="D22" i="4"/>
  <c r="C22" i="4"/>
  <c r="B22" i="4"/>
  <c r="A22" i="4"/>
  <c r="D21" i="4"/>
  <c r="C21" i="4"/>
  <c r="A21" i="4"/>
  <c r="B20" i="4"/>
  <c r="A20" i="4"/>
  <c r="G19" i="4"/>
  <c r="E19" i="4"/>
  <c r="A19" i="4"/>
  <c r="F19" i="4" s="1"/>
  <c r="G18" i="4"/>
  <c r="F18" i="4"/>
  <c r="D18" i="4"/>
  <c r="C18" i="4"/>
  <c r="A18" i="4"/>
  <c r="E18" i="4" s="1"/>
  <c r="G17" i="4"/>
  <c r="F17" i="4"/>
  <c r="E17" i="4"/>
  <c r="D17" i="4"/>
  <c r="C17" i="4"/>
  <c r="B17" i="4"/>
  <c r="A17" i="4"/>
  <c r="A16" i="4"/>
  <c r="C16" i="4" s="1"/>
  <c r="C15" i="4"/>
  <c r="A15" i="4"/>
  <c r="A14" i="4"/>
  <c r="B14" i="4" s="1"/>
  <c r="F13" i="4"/>
  <c r="A13" i="4"/>
  <c r="G13" i="4" s="1"/>
  <c r="G12" i="4"/>
  <c r="F12" i="4"/>
  <c r="E12" i="4"/>
  <c r="A12" i="4"/>
  <c r="D12" i="4" s="1"/>
  <c r="G11" i="4"/>
  <c r="F11" i="4"/>
  <c r="E11" i="4"/>
  <c r="D11" i="4"/>
  <c r="B11" i="4"/>
  <c r="A11" i="4"/>
  <c r="C11" i="4" s="1"/>
  <c r="G10" i="4"/>
  <c r="F10" i="4"/>
  <c r="E10" i="4"/>
  <c r="D10" i="4"/>
  <c r="C10" i="4"/>
  <c r="A10" i="4"/>
  <c r="B10" i="4" s="1"/>
  <c r="G9" i="4"/>
  <c r="F9" i="4"/>
  <c r="E9" i="4"/>
  <c r="D9" i="4"/>
  <c r="C9" i="4"/>
  <c r="B9" i="4"/>
  <c r="A9" i="4"/>
  <c r="D8" i="4"/>
  <c r="A8" i="4"/>
  <c r="B8" i="4" s="1"/>
  <c r="C7" i="4"/>
  <c r="B7" i="4"/>
  <c r="A7" i="4"/>
  <c r="G6" i="4"/>
  <c r="B6" i="4"/>
  <c r="A6" i="4"/>
  <c r="F5" i="4"/>
  <c r="A5" i="4"/>
  <c r="G4" i="4"/>
  <c r="F4" i="4"/>
  <c r="E4" i="4"/>
  <c r="A4" i="4"/>
  <c r="D4" i="4" s="1"/>
  <c r="G3" i="4"/>
  <c r="F3" i="4"/>
  <c r="E3" i="4"/>
  <c r="D3" i="4"/>
  <c r="B3" i="4"/>
  <c r="A3" i="4"/>
  <c r="C3" i="4" s="1"/>
  <c r="G2" i="4"/>
  <c r="F2" i="4"/>
  <c r="E2" i="4"/>
  <c r="D2" i="4"/>
  <c r="C2" i="4"/>
  <c r="A2" i="4"/>
  <c r="B2" i="4" s="1"/>
  <c r="A1" i="4"/>
  <c r="B31" i="4" l="1"/>
  <c r="F31" i="4"/>
  <c r="G31" i="4"/>
  <c r="D98" i="4"/>
  <c r="E98" i="4"/>
  <c r="C98" i="4"/>
  <c r="B98" i="4"/>
  <c r="G98" i="4"/>
  <c r="G117" i="4"/>
  <c r="F117" i="4"/>
  <c r="E117" i="4"/>
  <c r="D117" i="4"/>
  <c r="C117" i="4"/>
  <c r="F126" i="4"/>
  <c r="E126" i="4"/>
  <c r="D126" i="4"/>
  <c r="C126" i="4"/>
  <c r="B126" i="4"/>
  <c r="G7" i="4"/>
  <c r="F7" i="4"/>
  <c r="E7" i="4"/>
  <c r="D7" i="4"/>
  <c r="B16" i="4"/>
  <c r="C31" i="4"/>
  <c r="G61" i="4"/>
  <c r="B61" i="4"/>
  <c r="F61" i="4"/>
  <c r="E61" i="4"/>
  <c r="D61" i="4"/>
  <c r="C61" i="4"/>
  <c r="C65" i="4"/>
  <c r="G65" i="4"/>
  <c r="D65" i="4"/>
  <c r="F65" i="4"/>
  <c r="E65" i="4"/>
  <c r="E75" i="4"/>
  <c r="B75" i="4"/>
  <c r="G75" i="4"/>
  <c r="F75" i="4"/>
  <c r="D75" i="4"/>
  <c r="F98" i="4"/>
  <c r="B117" i="4"/>
  <c r="G126" i="4"/>
  <c r="B128" i="4"/>
  <c r="G128" i="4"/>
  <c r="F128" i="4"/>
  <c r="E128" i="4"/>
  <c r="C128" i="4"/>
  <c r="D128" i="4"/>
  <c r="E59" i="4"/>
  <c r="G59" i="4"/>
  <c r="F59" i="4"/>
  <c r="G78" i="4"/>
  <c r="F78" i="4"/>
  <c r="E78" i="4"/>
  <c r="D78" i="4"/>
  <c r="E5" i="4"/>
  <c r="D5" i="4"/>
  <c r="B5" i="4"/>
  <c r="C5" i="4"/>
  <c r="D16" i="4"/>
  <c r="G20" i="4"/>
  <c r="F20" i="4"/>
  <c r="E20" i="4"/>
  <c r="D20" i="4"/>
  <c r="C20" i="4"/>
  <c r="E31" i="4"/>
  <c r="D59" i="4"/>
  <c r="B62" i="4"/>
  <c r="D66" i="4"/>
  <c r="B66" i="4"/>
  <c r="G66" i="4"/>
  <c r="F68" i="4"/>
  <c r="G68" i="4"/>
  <c r="E68" i="4"/>
  <c r="D68" i="4"/>
  <c r="C68" i="4"/>
  <c r="B78" i="4"/>
  <c r="D82" i="4"/>
  <c r="G82" i="4"/>
  <c r="F82" i="4"/>
  <c r="E82" i="4"/>
  <c r="F100" i="4"/>
  <c r="G100" i="4"/>
  <c r="E100" i="4"/>
  <c r="F14" i="4"/>
  <c r="C14" i="4"/>
  <c r="E14" i="4"/>
  <c r="D14" i="4"/>
  <c r="D31" i="4"/>
  <c r="B38" i="4"/>
  <c r="G38" i="4"/>
  <c r="F38" i="4"/>
  <c r="D38" i="4"/>
  <c r="E38" i="4"/>
  <c r="D42" i="4"/>
  <c r="G42" i="4"/>
  <c r="F42" i="4"/>
  <c r="E42" i="4"/>
  <c r="C59" i="4"/>
  <c r="G14" i="4"/>
  <c r="G45" i="4"/>
  <c r="F45" i="4"/>
  <c r="E45" i="4"/>
  <c r="D45" i="4"/>
  <c r="C78" i="4"/>
  <c r="B88" i="4"/>
  <c r="F88" i="4"/>
  <c r="E88" i="4"/>
  <c r="D88" i="4"/>
  <c r="C88" i="4"/>
  <c r="G109" i="4"/>
  <c r="F109" i="4"/>
  <c r="B109" i="4"/>
  <c r="E109" i="4"/>
  <c r="D109" i="4"/>
  <c r="C109" i="4"/>
  <c r="C113" i="4"/>
  <c r="G113" i="4"/>
  <c r="F113" i="4"/>
  <c r="E113" i="4"/>
  <c r="D122" i="4"/>
  <c r="G122" i="4"/>
  <c r="F122" i="4"/>
  <c r="E122" i="4"/>
  <c r="C122" i="4"/>
  <c r="D25" i="4"/>
  <c r="G25" i="4"/>
  <c r="F25" i="4"/>
  <c r="E25" i="4"/>
  <c r="C25" i="4"/>
  <c r="E26" i="4"/>
  <c r="G26" i="4"/>
  <c r="F26" i="4"/>
  <c r="D62" i="4"/>
  <c r="G62" i="4"/>
  <c r="F62" i="4"/>
  <c r="E34" i="4"/>
  <c r="G34" i="4"/>
  <c r="F34" i="4"/>
  <c r="D34" i="4"/>
  <c r="C34" i="4"/>
  <c r="G5" i="4"/>
  <c r="G15" i="4"/>
  <c r="D15" i="4"/>
  <c r="F15" i="4"/>
  <c r="E15" i="4"/>
  <c r="G21" i="4"/>
  <c r="F21" i="4"/>
  <c r="E21" i="4"/>
  <c r="D26" i="4"/>
  <c r="B34" i="4"/>
  <c r="B45" i="4"/>
  <c r="E51" i="4"/>
  <c r="F51" i="4"/>
  <c r="D51" i="4"/>
  <c r="C51" i="4"/>
  <c r="B51" i="4"/>
  <c r="E62" i="4"/>
  <c r="C82" i="4"/>
  <c r="G85" i="4"/>
  <c r="D85" i="4"/>
  <c r="F85" i="4"/>
  <c r="E85" i="4"/>
  <c r="G88" i="4"/>
  <c r="E91" i="4"/>
  <c r="G91" i="4"/>
  <c r="F91" i="4"/>
  <c r="D91" i="4"/>
  <c r="C91" i="4"/>
  <c r="B91" i="4"/>
  <c r="C100" i="4"/>
  <c r="D102" i="4"/>
  <c r="C102" i="4"/>
  <c r="B102" i="4"/>
  <c r="G102" i="4"/>
  <c r="F102" i="4"/>
  <c r="E102" i="4"/>
  <c r="B113" i="4"/>
  <c r="B122" i="4"/>
  <c r="E16" i="4"/>
  <c r="G16" i="4"/>
  <c r="F16" i="4"/>
  <c r="C137" i="4"/>
  <c r="G137" i="4"/>
  <c r="F137" i="4"/>
  <c r="E137" i="4"/>
  <c r="B137" i="4"/>
  <c r="E8" i="4"/>
  <c r="G8" i="4"/>
  <c r="F8" i="4"/>
  <c r="C26" i="4"/>
  <c r="C42" i="4"/>
  <c r="F6" i="4"/>
  <c r="C6" i="4"/>
  <c r="E6" i="4"/>
  <c r="D6" i="4"/>
  <c r="C8" i="4"/>
  <c r="B15" i="4"/>
  <c r="B21" i="4"/>
  <c r="F29" i="4"/>
  <c r="E29" i="4"/>
  <c r="C29" i="4"/>
  <c r="D29" i="4"/>
  <c r="F35" i="4"/>
  <c r="E35" i="4"/>
  <c r="G35" i="4"/>
  <c r="C45" i="4"/>
  <c r="C49" i="4"/>
  <c r="E49" i="4"/>
  <c r="G49" i="4"/>
  <c r="F49" i="4"/>
  <c r="G51" i="4"/>
  <c r="F54" i="4"/>
  <c r="E54" i="4"/>
  <c r="D54" i="4"/>
  <c r="C54" i="4"/>
  <c r="B54" i="4"/>
  <c r="F66" i="4"/>
  <c r="B85" i="4"/>
  <c r="C89" i="4"/>
  <c r="B89" i="4"/>
  <c r="G89" i="4"/>
  <c r="F89" i="4"/>
  <c r="F92" i="4"/>
  <c r="G92" i="4"/>
  <c r="E92" i="4"/>
  <c r="D94" i="4"/>
  <c r="F94" i="4"/>
  <c r="E94" i="4"/>
  <c r="C94" i="4"/>
  <c r="B94" i="4"/>
  <c r="D100" i="4"/>
  <c r="D113" i="4"/>
  <c r="E13" i="4"/>
  <c r="B13" i="4"/>
  <c r="D13" i="4"/>
  <c r="C13" i="4"/>
  <c r="F52" i="4"/>
  <c r="B52" i="4"/>
  <c r="G52" i="4"/>
  <c r="E52" i="4"/>
  <c r="B56" i="4"/>
  <c r="G56" i="4"/>
  <c r="F56" i="4"/>
  <c r="D58" i="4"/>
  <c r="E58" i="4"/>
  <c r="G58" i="4"/>
  <c r="F58" i="4"/>
  <c r="C58" i="4"/>
  <c r="B58" i="4"/>
  <c r="B72" i="4"/>
  <c r="E72" i="4"/>
  <c r="G72" i="4"/>
  <c r="F72" i="4"/>
  <c r="D72" i="4"/>
  <c r="B96" i="4"/>
  <c r="G96" i="4"/>
  <c r="F96" i="4"/>
  <c r="C105" i="4"/>
  <c r="G105" i="4"/>
  <c r="F105" i="4"/>
  <c r="E105" i="4"/>
  <c r="F132" i="4"/>
  <c r="G132" i="4"/>
  <c r="E132" i="4"/>
  <c r="D114" i="4"/>
  <c r="G114" i="4"/>
  <c r="E123" i="4"/>
  <c r="G123" i="4"/>
  <c r="F123" i="4"/>
  <c r="C41" i="4"/>
  <c r="G41" i="4"/>
  <c r="G77" i="4"/>
  <c r="F77" i="4"/>
  <c r="C81" i="4"/>
  <c r="E81" i="4"/>
  <c r="E107" i="4"/>
  <c r="D107" i="4"/>
  <c r="C107" i="4"/>
  <c r="B107" i="4"/>
  <c r="B114" i="4"/>
  <c r="G118" i="4"/>
  <c r="F118" i="4"/>
  <c r="B123" i="4"/>
  <c r="D132" i="4"/>
  <c r="B48" i="4"/>
  <c r="C48" i="4"/>
  <c r="F84" i="4"/>
  <c r="B84" i="4"/>
  <c r="B4" i="4"/>
  <c r="B12" i="4"/>
  <c r="B19" i="4"/>
  <c r="B24" i="4"/>
  <c r="B28" i="4"/>
  <c r="B33" i="4"/>
  <c r="B37" i="4"/>
  <c r="B41" i="4"/>
  <c r="D48" i="4"/>
  <c r="B64" i="4"/>
  <c r="G64" i="4"/>
  <c r="E67" i="4"/>
  <c r="D67" i="4"/>
  <c r="B74" i="4"/>
  <c r="B77" i="4"/>
  <c r="B81" i="4"/>
  <c r="C84" i="4"/>
  <c r="E99" i="4"/>
  <c r="G99" i="4"/>
  <c r="F99" i="4"/>
  <c r="D99" i="4"/>
  <c r="F107" i="4"/>
  <c r="B112" i="4"/>
  <c r="E112" i="4"/>
  <c r="D112" i="4"/>
  <c r="C112" i="4"/>
  <c r="C114" i="4"/>
  <c r="B118" i="4"/>
  <c r="C123" i="4"/>
  <c r="F140" i="4"/>
  <c r="G140" i="4"/>
  <c r="E140" i="4"/>
  <c r="D140" i="4"/>
  <c r="C140" i="4"/>
  <c r="G146" i="4"/>
  <c r="F146" i="4"/>
  <c r="E146" i="4"/>
  <c r="D146" i="4"/>
  <c r="C146" i="4"/>
  <c r="F44" i="4"/>
  <c r="D44" i="4"/>
  <c r="C4" i="4"/>
  <c r="C12" i="4"/>
  <c r="D24" i="4"/>
  <c r="C33" i="4"/>
  <c r="D41" i="4"/>
  <c r="C44" i="4"/>
  <c r="E48" i="4"/>
  <c r="D50" i="4"/>
  <c r="G50" i="4"/>
  <c r="G53" i="4"/>
  <c r="D53" i="4"/>
  <c r="C57" i="4"/>
  <c r="B57" i="4"/>
  <c r="C74" i="4"/>
  <c r="C77" i="4"/>
  <c r="D81" i="4"/>
  <c r="D84" i="4"/>
  <c r="D90" i="4"/>
  <c r="E90" i="4"/>
  <c r="G93" i="4"/>
  <c r="B93" i="4"/>
  <c r="B99" i="4"/>
  <c r="B104" i="4"/>
  <c r="G104" i="4"/>
  <c r="F104" i="4"/>
  <c r="E104" i="4"/>
  <c r="G107" i="4"/>
  <c r="F112" i="4"/>
  <c r="E114" i="4"/>
  <c r="F116" i="4"/>
  <c r="D116" i="4"/>
  <c r="C116" i="4"/>
  <c r="B116" i="4"/>
  <c r="C118" i="4"/>
  <c r="D123" i="4"/>
  <c r="B136" i="4"/>
  <c r="G136" i="4"/>
  <c r="F136" i="4"/>
  <c r="E136" i="4"/>
  <c r="D136" i="4"/>
  <c r="C19" i="4"/>
  <c r="C28" i="4"/>
  <c r="C37" i="4"/>
  <c r="B18" i="4"/>
  <c r="D19" i="4"/>
  <c r="C23" i="4"/>
  <c r="E24" i="4"/>
  <c r="B27" i="4"/>
  <c r="D28" i="4"/>
  <c r="B32" i="4"/>
  <c r="E33" i="4"/>
  <c r="B36" i="4"/>
  <c r="D37" i="4"/>
  <c r="B40" i="4"/>
  <c r="E40" i="4"/>
  <c r="E41" i="4"/>
  <c r="E43" i="4"/>
  <c r="B43" i="4"/>
  <c r="E44" i="4"/>
  <c r="F48" i="4"/>
  <c r="B50" i="4"/>
  <c r="B53" i="4"/>
  <c r="D57" i="4"/>
  <c r="C60" i="4"/>
  <c r="D64" i="4"/>
  <c r="C67" i="4"/>
  <c r="D70" i="4"/>
  <c r="C73" i="4"/>
  <c r="G73" i="4"/>
  <c r="E74" i="4"/>
  <c r="F76" i="4"/>
  <c r="D76" i="4"/>
  <c r="D77" i="4"/>
  <c r="B80" i="4"/>
  <c r="C80" i="4"/>
  <c r="F81" i="4"/>
  <c r="B83" i="4"/>
  <c r="E84" i="4"/>
  <c r="B86" i="4"/>
  <c r="B90" i="4"/>
  <c r="C93" i="4"/>
  <c r="C99" i="4"/>
  <c r="C104" i="4"/>
  <c r="F108" i="4"/>
  <c r="G108" i="4"/>
  <c r="E108" i="4"/>
  <c r="D108" i="4"/>
  <c r="G112" i="4"/>
  <c r="F114" i="4"/>
  <c r="E116" i="4"/>
  <c r="D118" i="4"/>
  <c r="E131" i="4"/>
  <c r="G131" i="4"/>
  <c r="F131" i="4"/>
  <c r="D131" i="4"/>
  <c r="C131" i="4"/>
  <c r="C136" i="4"/>
  <c r="G141" i="4"/>
  <c r="F141" i="4"/>
  <c r="E141" i="4"/>
  <c r="E144" i="4"/>
  <c r="D144" i="4"/>
  <c r="C144" i="4"/>
  <c r="B144" i="4"/>
  <c r="B121" i="4"/>
  <c r="B125" i="4"/>
  <c r="B130" i="4"/>
  <c r="B134" i="4"/>
  <c r="B139" i="4"/>
  <c r="F144" i="4"/>
  <c r="G147" i="4"/>
  <c r="F147" i="4"/>
  <c r="E147" i="4"/>
  <c r="D121" i="4"/>
  <c r="C125" i="4"/>
  <c r="C130" i="4"/>
  <c r="C134" i="4"/>
  <c r="C139" i="4"/>
  <c r="G144" i="4"/>
  <c r="B147" i="4"/>
  <c r="B97" i="4"/>
  <c r="E121" i="4"/>
  <c r="D125" i="4"/>
  <c r="E130" i="4"/>
  <c r="D139" i="4"/>
  <c r="F145" i="4"/>
  <c r="E145" i="4"/>
  <c r="D145" i="4"/>
  <c r="C145" i="4"/>
  <c r="C147" i="4"/>
  <c r="F148" i="4"/>
  <c r="G149" i="4"/>
  <c r="B150" i="4"/>
</calcChain>
</file>

<file path=xl/sharedStrings.xml><?xml version="1.0" encoding="utf-8"?>
<sst xmlns="http://schemas.openxmlformats.org/spreadsheetml/2006/main" count="2449" uniqueCount="1018">
  <si>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</si>
  <si>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</si>
  <si>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</si>
  <si>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</si>
  <si>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</si>
  <si>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</si>
  <si>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</si>
  <si>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</si>
  <si>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</si>
  <si>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</si>
  <si>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</si>
  <si>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</si>
  <si>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</si>
  <si>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</si>
  <si>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</si>
  <si>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</si>
  <si>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</si>
  <si>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</si>
  <si>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</si>
  <si>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</si>
  <si>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</si>
  <si>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</si>
  <si>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</si>
  <si>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</si>
  <si>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</si>
  <si>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</si>
  <si>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</si>
  <si>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</si>
  <si>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</si>
  <si>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</si>
  <si>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</si>
  <si>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</si>
  <si>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</si>
  <si>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</si>
  <si>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</si>
  <si>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</si>
  <si>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</si>
  <si>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</si>
  <si>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</si>
  <si>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</si>
  <si>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</si>
  <si>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</si>
  <si>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</si>
  <si>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</si>
  <si>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</si>
  <si>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</si>
  <si>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</si>
  <si>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</si>
  <si>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</si>
  <si>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</si>
  <si>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</si>
  <si>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</si>
  <si>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</si>
  <si>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</si>
  <si>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</si>
  <si>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</si>
  <si>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</si>
  <si>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</si>
  <si>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</si>
  <si>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</si>
  <si>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</si>
  <si>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</si>
  <si>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</si>
  <si>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</si>
  <si>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</si>
  <si>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</si>
  <si>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</si>
  <si>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</si>
  <si>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</si>
  <si>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</si>
  <si>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</si>
  <si>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</si>
  <si>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</si>
  <si>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</si>
  <si>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</si>
  <si>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</si>
  <si>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</si>
  <si>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</si>
  <si>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</si>
  <si>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</si>
  <si>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</si>
  <si>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</si>
  <si>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</si>
  <si>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</si>
  <si>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</si>
  <si>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</si>
  <si>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</si>
  <si>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</si>
  <si>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</si>
  <si>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</si>
  <si>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</si>
  <si>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</si>
  <si>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</si>
  <si>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</si>
  <si>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</si>
  <si>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</si>
  <si>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</si>
  <si>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</si>
  <si>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</si>
  <si>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</si>
  <si>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</si>
  <si>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</si>
  <si>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</si>
  <si>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</si>
  <si>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</si>
  <si>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</si>
  <si>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</si>
  <si>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</si>
  <si>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</si>
  <si>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</si>
  <si>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</si>
  <si>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</si>
  <si>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</si>
  <si>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</si>
  <si>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</si>
  <si>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</si>
  <si>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</si>
  <si>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</si>
  <si>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</si>
  <si>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</si>
  <si>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</si>
  <si>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</si>
  <si>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</si>
  <si>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</si>
  <si>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</si>
  <si>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</si>
  <si>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</si>
  <si>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</si>
  <si>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</si>
  <si>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</si>
  <si>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</si>
  <si>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</si>
  <si>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</si>
  <si>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</si>
  <si>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</si>
  <si>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</si>
  <si>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</si>
  <si>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</si>
  <si>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</si>
  <si>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</si>
  <si>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</si>
  <si>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</si>
  <si>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</si>
  <si>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</si>
  <si>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</si>
  <si>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</si>
  <si>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</si>
  <si>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</si>
  <si>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</si>
  <si>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</si>
  <si>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</si>
  <si>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</si>
  <si>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</si>
  <si>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</si>
  <si>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</si>
  <si>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</si>
  <si>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</si>
  <si>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</si>
  <si>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</si>
  <si>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</si>
  <si>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</si>
  <si>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</si>
  <si>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</si>
  <si>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</si>
  <si>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</si>
  <si>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</si>
  <si>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</si>
  <si>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</si>
  <si>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</si>
  <si>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</si>
  <si>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</si>
  <si>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</si>
  <si>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</si>
  <si>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</si>
  <si>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</si>
  <si>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</si>
  <si>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</si>
  <si>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</si>
  <si>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</si>
  <si>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</si>
  <si>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</si>
  <si>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</si>
  <si>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</si>
  <si>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</si>
  <si>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</si>
  <si>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</si>
  <si>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</si>
  <si>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</si>
  <si>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</si>
  <si>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</si>
  <si>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</si>
  <si>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</si>
  <si>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</si>
  <si>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</si>
  <si>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</si>
  <si>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</si>
  <si>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</si>
  <si>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</si>
  <si>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</si>
  <si>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</si>
  <si>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</si>
  <si>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</si>
  <si>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</si>
  <si>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</si>
  <si>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</si>
  <si>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</si>
  <si>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</si>
  <si>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</si>
  <si>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</si>
  <si>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</si>
  <si>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</si>
  <si>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</si>
  <si>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</si>
  <si>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</si>
  <si>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</si>
  <si>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</si>
  <si>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</si>
  <si>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</si>
  <si>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</si>
  <si>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</si>
  <si>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</si>
  <si>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</si>
  <si>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</si>
  <si>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</si>
  <si>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</si>
  <si>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</si>
  <si>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</si>
  <si>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</si>
  <si>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</si>
  <si>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</si>
  <si>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</si>
  <si>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</si>
  <si>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</si>
  <si>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</si>
  <si>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</si>
  <si>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</si>
  <si>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</si>
  <si>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</si>
  <si>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</si>
  <si>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</si>
  <si>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</si>
  <si>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</si>
  <si>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</si>
  <si>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</si>
  <si>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</si>
  <si>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</si>
  <si>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</si>
  <si>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</si>
  <si>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</si>
  <si>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</si>
  <si>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</si>
  <si>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</si>
  <si>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</si>
  <si>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</si>
  <si>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</si>
  <si>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</si>
  <si>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</si>
  <si>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</si>
  <si>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</si>
  <si>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</si>
  <si>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</si>
  <si>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</si>
  <si>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</si>
  <si>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</si>
  <si>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</si>
  <si>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</si>
  <si>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</si>
  <si>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</si>
  <si>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</si>
  <si>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</si>
  <si>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</si>
  <si>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</si>
  <si>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</si>
  <si>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</si>
  <si>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</si>
  <si>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</si>
  <si>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</si>
  <si>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</si>
  <si>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</si>
  <si>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</si>
  <si>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</si>
  <si>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</si>
  <si>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</si>
  <si>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</si>
  <si>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</si>
  <si>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</si>
  <si>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</si>
  <si>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</si>
  <si>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</si>
  <si>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</si>
  <si>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</si>
  <si>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</si>
  <si>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</si>
  <si>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</si>
  <si>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</si>
  <si>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</si>
  <si>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</si>
  <si>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</si>
  <si>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</si>
  <si>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</si>
  <si>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</si>
  <si>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</si>
  <si>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</si>
  <si>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</si>
  <si>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</si>
  <si>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</si>
  <si>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</si>
  <si>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</si>
  <si>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</si>
  <si>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</si>
  <si>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</si>
  <si>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</si>
  <si>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</si>
  <si>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</si>
  <si>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</si>
  <si>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</si>
  <si>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</si>
  <si>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</si>
  <si>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</si>
  <si>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</si>
  <si>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</si>
  <si>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</si>
  <si>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</si>
  <si>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</si>
  <si>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</si>
  <si>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</si>
  <si>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</si>
  <si>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</si>
  <si>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</si>
  <si>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</si>
  <si>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</si>
  <si>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</si>
  <si>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</si>
  <si>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</si>
  <si>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</si>
  <si>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</si>
  <si>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</si>
  <si>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</si>
  <si>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</si>
  <si>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</si>
  <si>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</si>
  <si>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</si>
  <si>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</si>
  <si>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</si>
  <si>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</si>
  <si>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</si>
  <si>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</si>
  <si>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</si>
  <si>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</si>
  <si>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</si>
  <si>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</si>
  <si>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</si>
  <si>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</si>
  <si>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</si>
  <si>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</si>
  <si>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</si>
  <si>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</si>
  <si>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</si>
  <si>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</si>
  <si>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</si>
  <si>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</si>
  <si>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</si>
  <si>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</si>
  <si>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</si>
  <si>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</si>
  <si>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</si>
  <si>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</si>
  <si>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</si>
  <si>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</si>
  <si>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</si>
  <si>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</si>
  <si>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</si>
  <si>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</si>
  <si>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</si>
  <si>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</si>
  <si>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</si>
  <si>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</si>
  <si>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</si>
  <si>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</si>
  <si>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</si>
  <si>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</si>
  <si>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</si>
  <si>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</si>
  <si>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</si>
  <si>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</si>
  <si>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</si>
  <si>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</si>
  <si>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</si>
  <si>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</si>
  <si>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</si>
  <si>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</si>
  <si>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</si>
  <si>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</si>
  <si>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</si>
  <si>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</si>
  <si>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</si>
  <si>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</si>
  <si>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</si>
  <si>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</si>
  <si>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</si>
  <si>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</si>
  <si>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</si>
  <si>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</si>
  <si>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</si>
  <si>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</si>
  <si>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</si>
  <si>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</si>
  <si>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</si>
  <si>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</si>
  <si>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</si>
  <si>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</si>
  <si>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</si>
  <si>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</si>
  <si>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</si>
  <si>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</si>
  <si>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</si>
  <si>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</si>
  <si>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</si>
  <si>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</si>
  <si>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</si>
  <si>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</si>
  <si>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</si>
  <si>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</si>
  <si>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</si>
  <si>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</si>
  <si>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</si>
  <si>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</si>
  <si>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</si>
  <si>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</si>
  <si>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</si>
  <si>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</si>
  <si>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</si>
  <si>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</si>
  <si>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</si>
  <si>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</si>
  <si>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</si>
  <si>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</si>
  <si>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</si>
  <si>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</si>
  <si>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</si>
  <si>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</si>
  <si>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</si>
  <si>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</si>
  <si>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</si>
  <si>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</si>
  <si>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</si>
  <si>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</si>
  <si>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</si>
  <si>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</si>
  <si>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</si>
  <si>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</si>
  <si>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</si>
  <si>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</si>
  <si>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</si>
  <si>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</si>
  <si>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</si>
  <si>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</si>
  <si>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</si>
  <si>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</si>
  <si>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</si>
  <si>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</si>
  <si>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</si>
  <si>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</si>
  <si>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</si>
  <si>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</si>
  <si>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</si>
  <si>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</si>
  <si>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</si>
  <si>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</si>
  <si>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</si>
  <si>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</si>
  <si>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</si>
  <si>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</si>
  <si>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</si>
  <si>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</si>
  <si>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</si>
  <si>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</si>
  <si>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</si>
  <si>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</si>
  <si>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</si>
  <si>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</si>
  <si>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</si>
  <si>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</si>
  <si>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</si>
  <si>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</si>
  <si>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</si>
  <si>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</si>
  <si>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</si>
  <si>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</si>
  <si>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</si>
  <si>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</si>
  <si>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</si>
  <si>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</si>
  <si>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</si>
  <si>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</si>
  <si>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</si>
  <si>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</si>
  <si>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</si>
  <si>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</si>
  <si>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</si>
  <si>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</si>
  <si>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</si>
  <si>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</si>
  <si>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</si>
  <si>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</si>
  <si>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</si>
  <si>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</si>
  <si>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</si>
  <si>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</si>
  <si>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</si>
  <si>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</si>
  <si>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</si>
  <si>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</si>
  <si>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</si>
  <si>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</si>
  <si>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</si>
  <si>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</si>
  <si>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</si>
  <si>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</si>
  <si>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</si>
  <si>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</si>
  <si>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</si>
  <si>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</si>
  <si>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</si>
  <si>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</si>
  <si>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</si>
  <si>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</si>
  <si>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</si>
  <si>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</si>
  <si>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</si>
  <si>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</si>
  <si>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</si>
  <si>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</si>
  <si>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</si>
  <si>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</si>
  <si>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</si>
  <si>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</si>
  <si>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</si>
  <si>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</si>
  <si>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</si>
  <si>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</si>
  <si>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</si>
  <si>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</si>
  <si>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</si>
  <si>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</si>
  <si>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</si>
  <si>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</si>
  <si>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</si>
  <si>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</si>
  <si>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</si>
  <si>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</si>
  <si>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</si>
  <si>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</si>
  <si>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</si>
  <si>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</si>
  <si>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</si>
  <si>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</si>
  <si>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</si>
  <si>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</si>
  <si>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</si>
  <si>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</si>
  <si>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</si>
  <si>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</si>
  <si>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</si>
  <si>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</si>
  <si>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</si>
  <si>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</si>
  <si>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</si>
  <si>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</si>
  <si>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</si>
  <si>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</si>
  <si>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</si>
  <si>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</si>
  <si>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</si>
  <si>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</si>
  <si>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</si>
  <si>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</si>
  <si>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</si>
  <si>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</si>
  <si>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</si>
  <si>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</si>
  <si>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</si>
  <si>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</si>
  <si>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</si>
  <si>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</si>
  <si>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</si>
  <si>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</si>
  <si>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</si>
  <si>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</si>
  <si>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</si>
  <si>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</si>
  <si>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</si>
  <si>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</si>
  <si>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</si>
  <si>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</si>
  <si>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</si>
  <si>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</si>
  <si>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</si>
  <si>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</si>
  <si>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</si>
  <si>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</si>
  <si>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</si>
  <si>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</si>
  <si>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</si>
  <si>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</si>
  <si>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</si>
  <si>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</si>
  <si>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</si>
  <si>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</si>
  <si>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</si>
  <si>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</si>
  <si>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</si>
  <si>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</si>
  <si>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</si>
  <si>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</si>
  <si>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</si>
  <si>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</si>
  <si>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</si>
  <si>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</si>
  <si>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</si>
  <si>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</si>
  <si>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</si>
  <si>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</si>
  <si>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</si>
  <si>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</si>
  <si>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</si>
  <si>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</si>
  <si>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</si>
  <si>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</si>
  <si>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</si>
  <si>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</si>
  <si>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</si>
  <si>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</si>
  <si>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</si>
  <si>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</si>
  <si>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</si>
  <si>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</si>
  <si>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</si>
  <si>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</si>
  <si>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</si>
  <si>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</si>
  <si>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</si>
  <si>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</si>
  <si>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</si>
  <si>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</si>
  <si>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</si>
  <si>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</si>
  <si>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</si>
  <si>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</si>
  <si>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</si>
  <si>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</si>
  <si>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</si>
  <si>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</si>
  <si>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</si>
  <si>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</si>
  <si>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</si>
  <si>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</si>
  <si>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</si>
  <si>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</si>
  <si>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</si>
  <si>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</si>
  <si>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</si>
  <si>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</si>
  <si>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</si>
  <si>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</si>
  <si>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</si>
  <si>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</si>
  <si>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</si>
  <si>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</si>
  <si>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</si>
  <si>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</si>
  <si>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</si>
  <si>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</si>
  <si>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</si>
  <si>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</si>
  <si>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</si>
  <si>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</si>
  <si>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</si>
  <si>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</si>
  <si>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</si>
  <si>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</si>
  <si>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</si>
  <si>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</si>
  <si>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</si>
  <si>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</si>
  <si>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</si>
  <si>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</si>
  <si>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</si>
  <si>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</si>
  <si>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</si>
  <si>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</si>
  <si>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</si>
  <si>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</si>
  <si>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</si>
  <si>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</si>
  <si>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</si>
  <si>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</si>
  <si>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</si>
  <si>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</si>
  <si>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</si>
  <si>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</si>
  <si>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</si>
  <si>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</si>
  <si>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</si>
  <si>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</si>
  <si>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</si>
  <si>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</si>
  <si>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</si>
  <si>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</si>
  <si>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</si>
  <si>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</si>
  <si>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</si>
  <si>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</si>
  <si>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</si>
  <si>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</si>
  <si>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</si>
  <si>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</si>
  <si>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</si>
  <si>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</si>
  <si>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</si>
  <si>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</si>
  <si>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</si>
  <si>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</si>
  <si>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</si>
  <si>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</si>
  <si>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</si>
  <si>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</si>
  <si>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</si>
  <si>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</si>
  <si>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</si>
  <si>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</si>
  <si>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</si>
  <si>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</si>
  <si>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</si>
  <si>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</si>
  <si>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</si>
  <si>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</si>
  <si>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</si>
  <si>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</si>
  <si>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</si>
  <si>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</si>
  <si>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</si>
  <si>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</si>
  <si>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</si>
  <si>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</si>
  <si>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</si>
  <si>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</si>
  <si>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</si>
  <si>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</si>
  <si>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</si>
  <si>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</si>
  <si>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</si>
  <si>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</si>
  <si>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</si>
  <si>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</si>
  <si>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</si>
  <si>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</si>
  <si>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</si>
  <si>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</si>
  <si>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</si>
  <si>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</si>
  <si>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</si>
  <si>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</si>
  <si>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</si>
  <si>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</si>
  <si>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</si>
  <si>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</si>
  <si>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</si>
  <si>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</si>
  <si>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</si>
  <si>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</si>
  <si>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</si>
  <si>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</si>
  <si>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</si>
  <si>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</si>
  <si>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</si>
  <si>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</si>
  <si>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</si>
  <si>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</si>
  <si>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</si>
  <si>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</si>
  <si>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</si>
  <si>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</si>
  <si>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</si>
  <si>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</si>
  <si>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</si>
  <si>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</si>
  <si>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</si>
  <si>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</si>
  <si>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</si>
  <si>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</si>
  <si>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</si>
  <si>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</si>
  <si>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</si>
  <si>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</si>
  <si>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</si>
  <si>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</si>
  <si>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</si>
  <si>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</si>
  <si>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</si>
  <si>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</si>
  <si>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</si>
  <si>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</si>
  <si>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</si>
  <si>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</si>
  <si>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</si>
  <si>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</si>
  <si>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</si>
  <si>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</si>
  <si>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</si>
  <si>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</si>
  <si>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</si>
  <si>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</si>
  <si>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</si>
  <si>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</si>
  <si>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</si>
  <si>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</si>
  <si>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</si>
  <si>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</si>
  <si>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</si>
  <si>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</si>
  <si>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</si>
  <si>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</si>
  <si>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</si>
  <si>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</si>
  <si>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</si>
  <si>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</si>
  <si>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</si>
  <si>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</si>
  <si>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</si>
  <si>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</si>
  <si>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</si>
  <si>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</si>
  <si>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</si>
  <si>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</si>
  <si>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</si>
  <si>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</si>
  <si>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</si>
  <si>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</si>
  <si>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</si>
  <si>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</si>
  <si>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</si>
  <si>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</si>
  <si>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</si>
  <si>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</si>
  <si>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</si>
  <si>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</si>
  <si>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</si>
  <si>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</si>
  <si>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</si>
  <si>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</si>
  <si>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</si>
  <si>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</si>
  <si>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</si>
  <si>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</si>
  <si>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</si>
  <si>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</si>
  <si>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</si>
  <si>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</si>
  <si>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</si>
  <si>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</si>
  <si>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</si>
  <si>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</si>
  <si>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</si>
  <si>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</si>
  <si>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</si>
  <si>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</si>
  <si>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</si>
  <si>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</si>
  <si>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</si>
  <si>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</si>
  <si>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</si>
  <si>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</si>
  <si>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</si>
  <si>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</si>
  <si>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</si>
  <si>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</si>
  <si>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</si>
  <si>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</si>
  <si>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</si>
  <si>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</si>
  <si>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</si>
  <si>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</si>
  <si>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</si>
  <si>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</si>
  <si>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</si>
  <si>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</si>
  <si>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</si>
  <si>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</si>
  <si>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</si>
  <si>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</si>
  <si>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</si>
  <si>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</si>
  <si>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</si>
  <si>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</si>
  <si>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</si>
  <si>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</si>
  <si>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</si>
  <si>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</si>
  <si>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</si>
  <si>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</si>
  <si>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</si>
  <si>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</si>
  <si>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</si>
  <si>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</si>
  <si>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</si>
  <si>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</si>
  <si>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</si>
  <si>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</si>
  <si>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</si>
  <si>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</si>
  <si>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</si>
  <si>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</si>
  <si>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</si>
  <si>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</si>
  <si>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</si>
  <si>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</si>
  <si>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</si>
  <si>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</si>
  <si>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</si>
  <si>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</si>
  <si>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</si>
  <si>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</si>
  <si>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</si>
  <si>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</si>
  <si>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</si>
  <si>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</si>
  <si>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</si>
  <si>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</si>
  <si>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</si>
  <si>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</si>
  <si>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</si>
  <si>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</si>
  <si>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</si>
  <si>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</si>
  <si>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</si>
  <si>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</si>
  <si>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</si>
  <si>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</si>
  <si>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</si>
  <si>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</si>
  <si>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</si>
  <si>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</si>
  <si>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</si>
  <si>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</si>
  <si>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</si>
  <si>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</si>
  <si>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</si>
  <si>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</si>
  <si>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</si>
  <si>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</si>
  <si>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</si>
  <si>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</si>
  <si>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</si>
  <si>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</si>
  <si>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</si>
  <si>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</si>
  <si>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</si>
  <si>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</si>
  <si>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</si>
  <si>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</si>
  <si>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</si>
  <si>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</si>
  <si>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</si>
  <si>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</si>
  <si>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</si>
  <si>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</si>
  <si>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</si>
  <si>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</si>
  <si>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</si>
  <si>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</si>
  <si>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</si>
  <si>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</si>
  <si>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</si>
  <si>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</si>
  <si>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</si>
  <si>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</si>
  <si>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</si>
  <si>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</si>
  <si>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</si>
  <si>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</si>
  <si>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</si>
  <si>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</si>
  <si>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</si>
  <si>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</si>
  <si>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</si>
  <si>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</si>
  <si>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</si>
  <si>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</si>
  <si>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</si>
  <si>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</si>
  <si>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</si>
  <si>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</si>
  <si>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</si>
  <si>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</si>
  <si>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</si>
  <si>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</si>
  <si>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</si>
  <si>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</si>
  <si>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</si>
  <si>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</si>
  <si>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</si>
  <si>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</si>
  <si>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</si>
  <si>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Anita Dixit</t>
  </si>
  <si>
    <t>Ashok Kumar</t>
  </si>
  <si>
    <t>Manoj Kumar</t>
  </si>
  <si>
    <t>Rajesh Kumar</t>
  </si>
  <si>
    <t>Santosh Kumar</t>
  </si>
  <si>
    <t>Sunil Kumar</t>
  </si>
  <si>
    <t>Employee Total Number of woking hours</t>
  </si>
  <si>
    <t>Record 1 : Working Hours</t>
  </si>
  <si>
    <t>Sum of Active With Cust.</t>
  </si>
  <si>
    <t>Record 2 : Working Hours</t>
  </si>
  <si>
    <t>Deepak Kumar</t>
  </si>
  <si>
    <t>Kamini Kumar</t>
  </si>
  <si>
    <t>Kavita Sharma</t>
  </si>
  <si>
    <t>Mercy Thampi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</si>
</sst>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16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49" fontId="4" fillId="2" borderId="1" xfId="0" applyNumberFormat="1" applyFont="1" applyFill="1" applyBorder="1" applyAlignment="1">
      <alignment horizontal="center" vertical="top"/>
    </xf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6" borderId="0" xfId="0" applyFont="1" applyFill="1"/>
    <xf numFmtId="0" fontId="8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horizontal="left"/>
    </xf>
    <xf numFmtId="9" fontId="0" fillId="0" borderId="0" xfId="0" applyNumberFormat="1" applyFill="1"/>
  </cellXfs>
  <cellStyles count="2">
    <cellStyle name="Normal" xfId="0" builtinId="0"/>
    <cellStyle name="Per cent" xfId="1" builtinId="5"/>
  </cellStyles>
  <dxfs count="10"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Report Dashboard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30769230769231E-2"/>
          <c:y val="0.20383782456180605"/>
          <c:w val="0.91538461538461535"/>
          <c:h val="0.536507516030914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9-4610-BDF8-018589CAD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4424896"/>
        <c:axId val="724432096"/>
      </c:barChart>
      <c:catAx>
        <c:axId val="72442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32096"/>
        <c:crosses val="autoZero"/>
        <c:auto val="1"/>
        <c:lblAlgn val="ctr"/>
        <c:lblOffset val="100"/>
        <c:noMultiLvlLbl val="0"/>
      </c:catAx>
      <c:valAx>
        <c:axId val="72443209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72442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Report Dashboard Project.xlsm]Dashboard!PivotTable2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8-4C68-8FD8-225A35BBFC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8-4C68-8FD8-225A35BBF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68-4C68-8FD8-225A35BBF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68-4C68-8FD8-225A35BBF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68-4C68-8FD8-225A35BBFC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68-4C68-8FD8-225A35BBFC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68-4C68-8FD8-225A35BBFC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79B-4D0F-93B5-6AAF420991D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79B-4D0F-93B5-6AAF420991D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79B-4D0F-93B5-6AAF420991DA}"/>
              </c:ext>
            </c:extLst>
          </c:dPt>
          <c:cat>
            <c:strRef>
              <c:f>Dashboard!$E$5:$E$14</c:f>
              <c:strCache>
                <c:ptCount val="10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Mercy Thampi</c:v>
                </c:pt>
                <c:pt idx="7">
                  <c:v>Rajesh Kumar</c:v>
                </c:pt>
                <c:pt idx="8">
                  <c:v>Santosh Kumar</c:v>
                </c:pt>
                <c:pt idx="9">
                  <c:v>Sunil Kumar</c:v>
                </c:pt>
              </c:strCache>
            </c:strRef>
          </c:cat>
          <c:val>
            <c:numRef>
              <c:f>Dashboard!$F$5:$F$14</c:f>
              <c:numCache>
                <c:formatCode>0%</c:formatCode>
                <c:ptCount val="10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0.62762080802746201</c:v>
                </c:pt>
                <c:pt idx="7">
                  <c:v>1.122824596941316</c:v>
                </c:pt>
                <c:pt idx="8">
                  <c:v>1.7236731368386569</c:v>
                </c:pt>
                <c:pt idx="9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9E-4BCC-A8E4-5B619CB5A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30000" min="1" page="10" val="4"/>
</file>

<file path=xl/ctrlProps/ctrlProp2.xml><?xml version="1.0" encoding="utf-8"?>
<formControlPr xmlns="http://schemas.microsoft.com/office/spreadsheetml/2009/9/main" objectType="Spin" dx="31" fmlaLink="$C$1" max="30000" min="1" page="10" val="4"/>
</file>

<file path=xl/ctrlProps/ctrlProp3.xml><?xml version="1.0" encoding="utf-8"?>
<formControlPr xmlns="http://schemas.microsoft.com/office/spreadsheetml/2009/9/main" objectType="Spin" dx="31" fmlaLink="$C$2" max="30000" min="1" page="10" val="10"/>
</file>

<file path=xl/ctrlProps/ctrlProp4.xml><?xml version="1.0" encoding="utf-8"?>
<formControlPr xmlns="http://schemas.microsoft.com/office/spreadsheetml/2009/9/main" objectType="Spin" dx="31" fmlaLink="$C$2" max="30000" min="1" page="10" val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23232</xdr:rowOff>
    </xdr:from>
    <xdr:to>
      <xdr:col>1</xdr:col>
      <xdr:colOff>2587857</xdr:colOff>
      <xdr:row>20</xdr:row>
      <xdr:rowOff>157046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764A4B-4607-F860-1904-A5D3E51C76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0</xdr:row>
      <xdr:rowOff>44450</xdr:rowOff>
    </xdr:from>
    <xdr:to>
      <xdr:col>0</xdr:col>
      <xdr:colOff>812800</xdr:colOff>
      <xdr:row>1</xdr:row>
      <xdr:rowOff>266700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EA1E33E-D8FB-6A20-C48C-44BE9283FF8A}"/>
            </a:ext>
          </a:extLst>
        </xdr:cNvPr>
        <xdr:cNvSpPr/>
      </xdr:nvSpPr>
      <xdr:spPr>
        <a:xfrm>
          <a:off x="12700" y="44450"/>
          <a:ext cx="800100" cy="406400"/>
        </a:xfrm>
        <a:prstGeom prst="rightArrow">
          <a:avLst>
            <a:gd name="adj1" fmla="val 50000"/>
            <a:gd name="adj2" fmla="val 8080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CHART</a:t>
          </a:r>
        </a:p>
        <a:p>
          <a:pPr algn="l"/>
          <a:endParaRPr lang="en-JM" sz="1100"/>
        </a:p>
      </xdr:txBody>
    </xdr:sp>
    <xdr:clientData/>
  </xdr:twoCellAnchor>
  <xdr:twoCellAnchor editAs="oneCell">
    <xdr:from>
      <xdr:col>0</xdr:col>
      <xdr:colOff>844550</xdr:colOff>
      <xdr:row>0</xdr:row>
      <xdr:rowOff>88900</xdr:rowOff>
    </xdr:from>
    <xdr:to>
      <xdr:col>1</xdr:col>
      <xdr:colOff>368300</xdr:colOff>
      <xdr:row>1</xdr:row>
      <xdr:rowOff>311150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80A0C660-046F-3B0C-011E-E1FE79668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" y="88900"/>
          <a:ext cx="431800" cy="4064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846408</xdr:colOff>
      <xdr:row>0</xdr:row>
      <xdr:rowOff>79763</xdr:rowOff>
    </xdr:from>
    <xdr:to>
      <xdr:col>1</xdr:col>
      <xdr:colOff>372371</xdr:colOff>
      <xdr:row>1</xdr:row>
      <xdr:rowOff>295613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75A11866-6AF0-F631-298D-36A641EAD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08" y="79763"/>
          <a:ext cx="432000" cy="401704"/>
        </a:xfrm>
        <a:prstGeom prst="rect">
          <a:avLst/>
        </a:prstGeom>
      </xdr:spPr>
    </xdr:pic>
    <xdr:clientData/>
  </xdr:twoCellAnchor>
  <xdr:twoCellAnchor>
    <xdr:from>
      <xdr:col>1</xdr:col>
      <xdr:colOff>713679</xdr:colOff>
      <xdr:row>0</xdr:row>
      <xdr:rowOff>69850</xdr:rowOff>
    </xdr:from>
    <xdr:to>
      <xdr:col>1</xdr:col>
      <xdr:colOff>1342329</xdr:colOff>
      <xdr:row>1</xdr:row>
      <xdr:rowOff>311150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90759CDB-E7B5-1B84-DFAA-2C0B65D9DB9A}"/>
            </a:ext>
          </a:extLst>
        </xdr:cNvPr>
        <xdr:cNvSpPr/>
      </xdr:nvSpPr>
      <xdr:spPr>
        <a:xfrm>
          <a:off x="1619716" y="69850"/>
          <a:ext cx="628650" cy="427154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814B275B-69B7-44E7-8856-4FF1D2BBFC17}" type="TxLink">
            <a:rPr lang="en-US" sz="2800" b="0" i="0" u="none" strike="noStrike">
              <a:solidFill>
                <a:schemeClr val="tx1"/>
              </a:solidFill>
              <a:latin typeface="DaunPenh" panose="01010101010101010101" pitchFamily="2" charset="0"/>
              <a:cs typeface="DaunPenh" panose="01010101010101010101" pitchFamily="2" charset="0"/>
            </a:rPr>
            <a:pPr algn="r"/>
            <a:t>4</a:t>
          </a:fld>
          <a:endParaRPr lang="en-JM" sz="2800">
            <a:solidFill>
              <a:schemeClr val="tx1"/>
            </a:solidFill>
            <a:latin typeface="DaunPenh" panose="01010101010101010101" pitchFamily="2" charset="0"/>
            <a:cs typeface="DaunPenh" panose="01010101010101010101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0</xdr:row>
          <xdr:rowOff>120650</xdr:rowOff>
        </xdr:from>
        <xdr:to>
          <xdr:col>1</xdr:col>
          <xdr:colOff>971550</xdr:colOff>
          <xdr:row>1</xdr:row>
          <xdr:rowOff>247650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1494573</xdr:colOff>
      <xdr:row>0</xdr:row>
      <xdr:rowOff>69850</xdr:rowOff>
    </xdr:from>
    <xdr:to>
      <xdr:col>1</xdr:col>
      <xdr:colOff>2514600</xdr:colOff>
      <xdr:row>1</xdr:row>
      <xdr:rowOff>279400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2B61253B-B699-4F9E-B565-8C7FBA0B048C}"/>
            </a:ext>
          </a:extLst>
        </xdr:cNvPr>
        <xdr:cNvSpPr/>
      </xdr:nvSpPr>
      <xdr:spPr>
        <a:xfrm flipH="1">
          <a:off x="2400610" y="69850"/>
          <a:ext cx="1020027" cy="395404"/>
        </a:xfrm>
        <a:prstGeom prst="rightArrow">
          <a:avLst>
            <a:gd name="adj1" fmla="val 50000"/>
            <a:gd name="adj2" fmla="val 97991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RECORD</a:t>
          </a:r>
        </a:p>
        <a:p>
          <a:pPr algn="l"/>
          <a:endParaRPr lang="en-JM" sz="1100"/>
        </a:p>
        <a:p>
          <a:pPr algn="l"/>
          <a:endParaRPr lang="en-JM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2266950</xdr:colOff>
          <xdr:row>9</xdr:row>
          <xdr:rowOff>88900</xdr:rowOff>
        </xdr:from>
        <xdr:to>
          <xdr:col>1</xdr:col>
          <xdr:colOff>2482850</xdr:colOff>
          <xdr:row>11</xdr:row>
          <xdr:rowOff>63500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6195</xdr:colOff>
      <xdr:row>9</xdr:row>
      <xdr:rowOff>38720</xdr:rowOff>
    </xdr:from>
    <xdr:to>
      <xdr:col>6</xdr:col>
      <xdr:colOff>0</xdr:colOff>
      <xdr:row>21</xdr:row>
      <xdr:rowOff>7744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8E7BA28-FC6D-96F9-63CF-BD582F22B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52387</xdr:colOff>
      <xdr:row>0</xdr:row>
      <xdr:rowOff>44450</xdr:rowOff>
    </xdr:from>
    <xdr:to>
      <xdr:col>4</xdr:col>
      <xdr:colOff>852487</xdr:colOff>
      <xdr:row>1</xdr:row>
      <xdr:rowOff>266700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6B0A391C-7E88-414F-BFEF-62D7281002D6}"/>
            </a:ext>
          </a:extLst>
        </xdr:cNvPr>
        <xdr:cNvSpPr/>
      </xdr:nvSpPr>
      <xdr:spPr>
        <a:xfrm>
          <a:off x="4783137" y="44450"/>
          <a:ext cx="800100" cy="404813"/>
        </a:xfrm>
        <a:prstGeom prst="rightArrow">
          <a:avLst>
            <a:gd name="adj1" fmla="val 50000"/>
            <a:gd name="adj2" fmla="val 8080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CHART</a:t>
          </a:r>
        </a:p>
        <a:p>
          <a:pPr algn="l"/>
          <a:endParaRPr lang="en-JM" sz="1100"/>
        </a:p>
      </xdr:txBody>
    </xdr:sp>
    <xdr:clientData/>
  </xdr:twoCellAnchor>
  <xdr:oneCellAnchor>
    <xdr:from>
      <xdr:col>4</xdr:col>
      <xdr:colOff>929733</xdr:colOff>
      <xdr:row>0</xdr:row>
      <xdr:rowOff>81156</xdr:rowOff>
    </xdr:from>
    <xdr:ext cx="429787" cy="408104"/>
    <xdr:pic macro="[0]!Hide_Chart9">
      <xdr:nvPicPr>
        <xdr:cNvPr id="12" name="Picture 11">
          <a:extLst>
            <a:ext uri="{FF2B5EF4-FFF2-40B4-BE49-F238E27FC236}">
              <a16:creationId xmlns:a16="http://schemas.microsoft.com/office/drawing/2014/main" id="{DF8837E4-916D-48F3-856D-58E621DD3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257" y="81156"/>
          <a:ext cx="429787" cy="4081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twoCellAnchor>
    <xdr:from>
      <xdr:col>5</xdr:col>
      <xdr:colOff>713679</xdr:colOff>
      <xdr:row>0</xdr:row>
      <xdr:rowOff>69850</xdr:rowOff>
    </xdr:from>
    <xdr:to>
      <xdr:col>5</xdr:col>
      <xdr:colOff>1342329</xdr:colOff>
      <xdr:row>1</xdr:row>
      <xdr:rowOff>311150</xdr:rowOff>
    </xdr:to>
    <xdr:sp macro="" textlink="$C$2">
      <xdr:nvSpPr>
        <xdr:cNvPr id="14" name="Rectangle 13">
          <a:extLst>
            <a:ext uri="{FF2B5EF4-FFF2-40B4-BE49-F238E27FC236}">
              <a16:creationId xmlns:a16="http://schemas.microsoft.com/office/drawing/2014/main" id="{553B0FAA-EC47-44D9-8C4E-2861A447EC19}"/>
            </a:ext>
          </a:extLst>
        </xdr:cNvPr>
        <xdr:cNvSpPr/>
      </xdr:nvSpPr>
      <xdr:spPr>
        <a:xfrm>
          <a:off x="1619716" y="69850"/>
          <a:ext cx="628650" cy="427154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fld id="{04447183-B872-4DBA-8160-51F2D873CE18}" type="TxLink">
            <a:rPr lang="en-US" sz="2800" b="0" i="0" u="none" strike="noStrike">
              <a:solidFill>
                <a:schemeClr val="tx1"/>
              </a:solidFill>
              <a:latin typeface="DaunPenh" panose="01010101010101010101" pitchFamily="2" charset="0"/>
              <a:ea typeface="+mn-ea"/>
              <a:cs typeface="DaunPenh" panose="01010101010101010101" pitchFamily="2" charset="0"/>
            </a:rPr>
            <a:pPr marL="0" indent="0" algn="r"/>
            <a:t>10</a:t>
          </a:fld>
          <a:endParaRPr lang="en-JM" sz="2800" b="0" i="0" u="none" strike="noStrike">
            <a:solidFill>
              <a:schemeClr val="tx1"/>
            </a:solidFill>
            <a:latin typeface="DaunPenh" panose="01010101010101010101" pitchFamily="2" charset="0"/>
            <a:ea typeface="+mn-ea"/>
            <a:cs typeface="DaunPenh" panose="01010101010101010101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787400</xdr:colOff>
          <xdr:row>0</xdr:row>
          <xdr:rowOff>120650</xdr:rowOff>
        </xdr:from>
        <xdr:to>
          <xdr:col>5</xdr:col>
          <xdr:colOff>971550</xdr:colOff>
          <xdr:row>1</xdr:row>
          <xdr:rowOff>247650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1494573</xdr:colOff>
      <xdr:row>0</xdr:row>
      <xdr:rowOff>69850</xdr:rowOff>
    </xdr:from>
    <xdr:to>
      <xdr:col>5</xdr:col>
      <xdr:colOff>2514600</xdr:colOff>
      <xdr:row>1</xdr:row>
      <xdr:rowOff>279400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48EE5037-B0E0-497B-86A0-F353BF258611}"/>
            </a:ext>
          </a:extLst>
        </xdr:cNvPr>
        <xdr:cNvSpPr/>
      </xdr:nvSpPr>
      <xdr:spPr>
        <a:xfrm flipH="1">
          <a:off x="2400610" y="69850"/>
          <a:ext cx="1020027" cy="395404"/>
        </a:xfrm>
        <a:prstGeom prst="rightArrow">
          <a:avLst>
            <a:gd name="adj1" fmla="val 50000"/>
            <a:gd name="adj2" fmla="val 97991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RECORD</a:t>
          </a:r>
        </a:p>
        <a:p>
          <a:pPr algn="l"/>
          <a:endParaRPr lang="en-JM" sz="1100"/>
        </a:p>
        <a:p>
          <a:pPr algn="l"/>
          <a:endParaRPr lang="en-JM" sz="1100"/>
        </a:p>
      </xdr:txBody>
    </xdr:sp>
    <xdr:clientData/>
  </xdr:twoCellAnchor>
  <xdr:twoCellAnchor editAs="oneCell">
    <xdr:from>
      <xdr:col>4</xdr:col>
      <xdr:colOff>929114</xdr:colOff>
      <xdr:row>0</xdr:row>
      <xdr:rowOff>77284</xdr:rowOff>
    </xdr:from>
    <xdr:to>
      <xdr:col>5</xdr:col>
      <xdr:colOff>83370</xdr:colOff>
      <xdr:row>1</xdr:row>
      <xdr:rowOff>293134</xdr:rowOff>
    </xdr:to>
    <xdr:pic macro="[0]!Show_Chart9">
      <xdr:nvPicPr>
        <xdr:cNvPr id="16" name="Picture 15" hidden="1">
          <a:extLst>
            <a:ext uri="{FF2B5EF4-FFF2-40B4-BE49-F238E27FC236}">
              <a16:creationId xmlns:a16="http://schemas.microsoft.com/office/drawing/2014/main" id="{D147CE28-969D-4DDF-947D-2278F79F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638" y="77284"/>
          <a:ext cx="432000" cy="4017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2305050</xdr:colOff>
          <xdr:row>9</xdr:row>
          <xdr:rowOff>127000</xdr:rowOff>
        </xdr:from>
        <xdr:to>
          <xdr:col>5</xdr:col>
          <xdr:colOff>2489200</xdr:colOff>
          <xdr:row>11</xdr:row>
          <xdr:rowOff>69850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is\AppData\Local\Temp\69c4e211-4d2e-4311-aa93-b75078eed83f_SD108.zip.83f\Lesson%20No.14%20-%20Pivot%20Table%20Masterclass\Practice%20DATA%20From%20Learn%20More.xlsm" TargetMode="External"/><Relationship Id="rId1" Type="http://schemas.openxmlformats.org/officeDocument/2006/relationships/externalLinkPath" Target="file:///C:\Users\This\AppData\Local\Temp\69c4e211-4d2e-4311-aa93-b75078eed83f_SD108.zip.83f\Lesson%20No.14%20-%20Pivot%20Table%20Masterclass\Practice%20DATA%20From%20Learn%20Mo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2">
          <cell r="A2" t="str">
            <v>Mum_Abdul Hamid (1008512)</v>
          </cell>
        </row>
        <row r="3">
          <cell r="A3" t="str">
            <v>Mum_Afzal Husain (1008513)</v>
          </cell>
        </row>
        <row r="4">
          <cell r="A4" t="str">
            <v>Mum_Anamika Gupta (1008514)</v>
          </cell>
        </row>
        <row r="5">
          <cell r="A5" t="str">
            <v>Mum_Anikuttan (1008515)</v>
          </cell>
        </row>
        <row r="6">
          <cell r="A6" t="str">
            <v>Mum_Anil Kumar (1008516)</v>
          </cell>
        </row>
        <row r="7">
          <cell r="A7" t="str">
            <v>Mum_Anita Dixit (1008517)</v>
          </cell>
        </row>
        <row r="8">
          <cell r="A8" t="str">
            <v>Mum_Anita Ghore (1008518)</v>
          </cell>
        </row>
        <row r="9">
          <cell r="A9" t="str">
            <v>Mum_Anjali Deoram (1008519)</v>
          </cell>
        </row>
        <row r="10">
          <cell r="A10" t="str">
            <v>Mum_Anjali Sahay (1008520)</v>
          </cell>
        </row>
        <row r="11">
          <cell r="A11" t="str">
            <v>Mum_Annu Latika (1008521)</v>
          </cell>
        </row>
        <row r="12">
          <cell r="A12" t="str">
            <v>Mum_Anoop Narayan (1008522)</v>
          </cell>
        </row>
        <row r="13">
          <cell r="A13" t="str">
            <v>Mum_Anoop Raj (1008523)</v>
          </cell>
        </row>
        <row r="14">
          <cell r="A14" t="str">
            <v>Mum_Anubhuti Gupta (1008524)</v>
          </cell>
        </row>
        <row r="15">
          <cell r="A15" t="str">
            <v>Mum_Arun Kumar (1008525)</v>
          </cell>
        </row>
        <row r="16">
          <cell r="A16" t="str">
            <v>Mum_Ashish Kumar (1008526)</v>
          </cell>
        </row>
        <row r="17">
          <cell r="A17" t="str">
            <v>Mum_Ashok Kumar (1008527)</v>
          </cell>
        </row>
        <row r="18">
          <cell r="A18" t="str">
            <v>Hyd_Ashok Kumar (1008528)</v>
          </cell>
        </row>
        <row r="19">
          <cell r="A19" t="str">
            <v>Hyd_Ashok Kumar (1008529)</v>
          </cell>
        </row>
        <row r="20">
          <cell r="A20" t="str">
            <v>Hyd_Ashok Kumar (1008530)</v>
          </cell>
        </row>
        <row r="21">
          <cell r="A21" t="str">
            <v>Hyd_Ashok Mahto (1008531)</v>
          </cell>
        </row>
        <row r="22">
          <cell r="A22" t="str">
            <v>Hyd_Atul Kumar (1008532)</v>
          </cell>
        </row>
        <row r="23">
          <cell r="A23" t="str">
            <v>Hyd_Azam (1008533)</v>
          </cell>
        </row>
        <row r="24">
          <cell r="A24" t="str">
            <v>Hyd_Bhagwat Singh (1008534)</v>
          </cell>
        </row>
        <row r="25">
          <cell r="A25" t="str">
            <v>Hyd_Bindu Nair (1008535)</v>
          </cell>
        </row>
        <row r="26">
          <cell r="A26" t="str">
            <v>Hyd_Daleep Singh (1008536)</v>
          </cell>
        </row>
        <row r="27">
          <cell r="A27" t="str">
            <v>Hyd_Deepak Kumar (1008537)</v>
          </cell>
        </row>
        <row r="28">
          <cell r="A28" t="str">
            <v>Hyd_Deepika Nigam (1008538)</v>
          </cell>
        </row>
        <row r="29">
          <cell r="A29" t="str">
            <v>Hyd_Dinesh Kumar (1008539)</v>
          </cell>
        </row>
        <row r="30">
          <cell r="A30" t="str">
            <v>Hyd_Hari Kumar (1008540)</v>
          </cell>
        </row>
        <row r="31">
          <cell r="A31" t="str">
            <v>Hyd_Heeramani Choudhary (1008541)</v>
          </cell>
        </row>
        <row r="32">
          <cell r="A32" t="str">
            <v>Hyd_Indra Pal (1008542)</v>
          </cell>
        </row>
        <row r="33">
          <cell r="A33" t="str">
            <v>Hyd_Indra Singh (1008543)</v>
          </cell>
        </row>
        <row r="34">
          <cell r="A34" t="str">
            <v>Hyd_Jagdish Chandra (1008544)</v>
          </cell>
        </row>
        <row r="35">
          <cell r="A35" t="str">
            <v>Hyd_Jairaj Vatham (1008545)</v>
          </cell>
        </row>
        <row r="36">
          <cell r="A36" t="str">
            <v>Hyd_Janardan Mishra (1008546)</v>
          </cell>
        </row>
        <row r="37">
          <cell r="A37" t="str">
            <v>Hyd_Jitendra Kumar (1008547)</v>
          </cell>
        </row>
        <row r="38">
          <cell r="A38" t="str">
            <v>Hyd_John D'Costa (1008548)</v>
          </cell>
        </row>
        <row r="39">
          <cell r="A39" t="str">
            <v>Hyd_Julie S (1008549)</v>
          </cell>
        </row>
        <row r="40">
          <cell r="A40" t="str">
            <v>Hyd_Jyoti Tulsani (1008550)</v>
          </cell>
        </row>
        <row r="41">
          <cell r="A41" t="str">
            <v>Hyd_Kahkasha Parveen (1008551)</v>
          </cell>
        </row>
        <row r="42">
          <cell r="A42" t="str">
            <v>Hyd_Kailash Nath (1008552)</v>
          </cell>
        </row>
        <row r="43">
          <cell r="A43" t="str">
            <v>Hyd_Kalpana Agrawal (1008553)</v>
          </cell>
        </row>
        <row r="44">
          <cell r="A44" t="str">
            <v>Hyd_Kamini Kumar (1008554)</v>
          </cell>
        </row>
        <row r="45">
          <cell r="A45" t="str">
            <v>Hyd_Kamini Tiwari (1008555)</v>
          </cell>
        </row>
        <row r="46">
          <cell r="A46" t="str">
            <v>Hyd_Kavita Sharma (1008556)</v>
          </cell>
        </row>
        <row r="47">
          <cell r="A47" t="str">
            <v>Hyd_Kiran Khubchandani (1008557)</v>
          </cell>
        </row>
        <row r="48">
          <cell r="A48" t="str">
            <v>Hyd_Kisun Sah (1008558)</v>
          </cell>
        </row>
        <row r="49">
          <cell r="A49" t="str">
            <v>Hyd_Krishana Kumar (1008559)</v>
          </cell>
        </row>
        <row r="50">
          <cell r="A50" t="str">
            <v>Hyd_Kunj Bihari (1008560)</v>
          </cell>
        </row>
        <row r="51">
          <cell r="A51" t="str">
            <v>Hyd_Leena George (1008561)</v>
          </cell>
        </row>
        <row r="52">
          <cell r="A52" t="str">
            <v>Hyd_Lilly Lucy (1008562)</v>
          </cell>
        </row>
        <row r="53">
          <cell r="A53" t="str">
            <v>Hyd_Mangal Singh (1008563)</v>
          </cell>
        </row>
        <row r="54">
          <cell r="A54" t="str">
            <v>Hyd_Manisha Shrivastava (1008564)</v>
          </cell>
        </row>
        <row r="55">
          <cell r="A55" t="str">
            <v>Hyd_Manjusha Sinha (1008565)</v>
          </cell>
        </row>
        <row r="56">
          <cell r="A56" t="str">
            <v>Hyd_ManjuTiwari Lab (1008566)</v>
          </cell>
        </row>
        <row r="57">
          <cell r="A57" t="str">
            <v>Hyd_Manoj Kumar (1008567)</v>
          </cell>
        </row>
        <row r="58">
          <cell r="A58" t="str">
            <v>Hyd_Manoj Kumar (1008568)</v>
          </cell>
        </row>
        <row r="59">
          <cell r="A59" t="str">
            <v>Hyd_Masroor Adil (1008569)</v>
          </cell>
        </row>
        <row r="60">
          <cell r="A60" t="str">
            <v>Hyd_Meena Zinjare (1008570)</v>
          </cell>
        </row>
        <row r="61">
          <cell r="A61" t="str">
            <v>Hyd_Mehnaz Khan (1008571)</v>
          </cell>
        </row>
        <row r="62">
          <cell r="A62" t="str">
            <v>Hyd_Mercy Thampi (1008572)</v>
          </cell>
        </row>
        <row r="63">
          <cell r="A63" t="str">
            <v>Hyd_Miny Mole (1008573)</v>
          </cell>
        </row>
        <row r="64">
          <cell r="A64" t="str">
            <v>Hyd_Mohd Rafi (1008574)</v>
          </cell>
        </row>
        <row r="65">
          <cell r="A65" t="str">
            <v>Hyd_Mubeen Khan (1008575)</v>
          </cell>
        </row>
        <row r="66">
          <cell r="A66" t="str">
            <v>Hyd_Mukesh Nagar (1008576)</v>
          </cell>
        </row>
        <row r="67">
          <cell r="A67" t="str">
            <v>Hyd_Nandu Kumar (1008577)</v>
          </cell>
        </row>
        <row r="68">
          <cell r="A68" t="str">
            <v>Hyd_Narayan Singh (1008578)</v>
          </cell>
        </row>
        <row r="69">
          <cell r="A69" t="str">
            <v>Hyd_Neeraj Saxena (1008579)</v>
          </cell>
        </row>
        <row r="70">
          <cell r="A70" t="str">
            <v>Hyd_Neeru Mehta (1008580)</v>
          </cell>
        </row>
        <row r="71">
          <cell r="A71" t="str">
            <v>Hyd_Nikita Panwalkar (1008581)</v>
          </cell>
        </row>
        <row r="72">
          <cell r="A72" t="str">
            <v>Hyd_Nitin Bhatia (1008582)</v>
          </cell>
        </row>
        <row r="73">
          <cell r="A73" t="str">
            <v>Hyd_Om Prakash (1008583)</v>
          </cell>
        </row>
        <row r="74">
          <cell r="A74" t="str">
            <v>Hyd_Omprakash O (1008584)</v>
          </cell>
        </row>
        <row r="75">
          <cell r="A75" t="str">
            <v>Hyd_Owais Mohd (1008585)</v>
          </cell>
        </row>
        <row r="76">
          <cell r="A76" t="str">
            <v>Hyd_Pankaj Shelkey (1008586)</v>
          </cell>
        </row>
        <row r="77">
          <cell r="A77" t="str">
            <v>Hyd_Partha Sarathi (1008587)</v>
          </cell>
        </row>
        <row r="78">
          <cell r="A78" t="str">
            <v>Hyd_Prabha Desikan (1008588)</v>
          </cell>
        </row>
        <row r="79">
          <cell r="A79" t="str">
            <v>Hyd_Pramod Tiwari (1008589)</v>
          </cell>
        </row>
        <row r="80">
          <cell r="A80" t="str">
            <v>Hyd_Prasannakumari S (1008590)</v>
          </cell>
        </row>
        <row r="81">
          <cell r="A81" t="str">
            <v>Hyd_Praveen Kumar (1008591)</v>
          </cell>
        </row>
        <row r="82">
          <cell r="A82" t="str">
            <v>Hyd_Rachel Mathew (1008592)</v>
          </cell>
        </row>
        <row r="83">
          <cell r="A83" t="str">
            <v>Hyd_Rachita Anupam (1008593)</v>
          </cell>
        </row>
        <row r="84">
          <cell r="A84" t="str">
            <v>Hyd_Rachna Chauhan (1008594)</v>
          </cell>
        </row>
        <row r="85">
          <cell r="A85" t="str">
            <v>Hyd_Raj Kumar (1008595)</v>
          </cell>
        </row>
        <row r="86">
          <cell r="A86" t="str">
            <v>Hyd_Rajeev Garg (1008596)</v>
          </cell>
        </row>
        <row r="87">
          <cell r="A87" t="str">
            <v>Hyd_Rajeev Kumar (1008597)</v>
          </cell>
        </row>
        <row r="88">
          <cell r="A88" t="str">
            <v>Hyd_Rajendra Gupta (1008598)</v>
          </cell>
        </row>
        <row r="89">
          <cell r="A89" t="str">
            <v>Hyd_Rajendra Kumar (1008599)</v>
          </cell>
        </row>
        <row r="90">
          <cell r="A90" t="str">
            <v>Hyd_Rajendra Prasad (1008600)</v>
          </cell>
        </row>
        <row r="91">
          <cell r="A91" t="str">
            <v>Hyd_Rajesh Kumar (1008601)</v>
          </cell>
        </row>
        <row r="92">
          <cell r="A92" t="str">
            <v>Hyd_Rajesh Kumar (1008602)</v>
          </cell>
        </row>
        <row r="93">
          <cell r="A93" t="str">
            <v>Hyd_Rajesh Sharma (1008603)</v>
          </cell>
        </row>
        <row r="94">
          <cell r="A94" t="str">
            <v>Hyd_Raji Abraham (1008604)</v>
          </cell>
        </row>
        <row r="95">
          <cell r="A95" t="str">
            <v>Hyd_Rajshree Dhabekar (1008605)</v>
          </cell>
        </row>
        <row r="96">
          <cell r="A96" t="str">
            <v>Hyd_Rakhi Jodhani (1008606)</v>
          </cell>
        </row>
        <row r="97">
          <cell r="A97" t="str">
            <v>Hyd_Ramji Prasad (1008607)</v>
          </cell>
        </row>
        <row r="98">
          <cell r="A98" t="str">
            <v>Del_Rashid (1008608)</v>
          </cell>
        </row>
        <row r="99">
          <cell r="A99" t="str">
            <v>Del_Rashmi Gajbe (1008609)</v>
          </cell>
        </row>
        <row r="100">
          <cell r="A100" t="str">
            <v>Del_Ravi Kumar (1008610)</v>
          </cell>
        </row>
        <row r="101">
          <cell r="A101" t="str">
            <v>Del_Ravinder Kaur (1008611)</v>
          </cell>
        </row>
        <row r="102">
          <cell r="A102" t="str">
            <v>Del_Rekha Agarwal (1008612)</v>
          </cell>
        </row>
        <row r="103">
          <cell r="A103" t="str">
            <v>Del_Rekha Gupta (1008613)</v>
          </cell>
        </row>
        <row r="104">
          <cell r="A104" t="str">
            <v>Del_Rekha Jain  (1008614)</v>
          </cell>
        </row>
        <row r="105">
          <cell r="A105" t="str">
            <v>Del_Renu Pratap (1008615)</v>
          </cell>
        </row>
        <row r="106">
          <cell r="A106" t="str">
            <v>Del_Ritu Bhatnagar (1008616)</v>
          </cell>
        </row>
        <row r="107">
          <cell r="A107" t="str">
            <v>Del_Rohit Nishchal (1008617)</v>
          </cell>
        </row>
        <row r="108">
          <cell r="A108" t="str">
            <v>Del_Roli Bhatnagar (1008618)</v>
          </cell>
        </row>
        <row r="109">
          <cell r="A109" t="str">
            <v>Del_Roma Rastogi (1008619)</v>
          </cell>
        </row>
        <row r="110">
          <cell r="A110" t="str">
            <v>Del_Roohi Haider (1008620)</v>
          </cell>
        </row>
        <row r="111">
          <cell r="A111" t="str">
            <v>Del_Sajid Naqvi (1008621)</v>
          </cell>
        </row>
        <row r="112">
          <cell r="A112" t="str">
            <v>Del_Salim (1008622)</v>
          </cell>
        </row>
        <row r="113">
          <cell r="A113" t="str">
            <v>Del_Sanjay Hire (1008623)</v>
          </cell>
        </row>
        <row r="114">
          <cell r="A114" t="str">
            <v>Del_Sanjiv Subherwal (1008624)</v>
          </cell>
        </row>
        <row r="115">
          <cell r="A115" t="str">
            <v>Del_Sanju Ramdas (1008625)</v>
          </cell>
        </row>
        <row r="116">
          <cell r="A116" t="str">
            <v>Del_Santosh Kumar (1008626)</v>
          </cell>
        </row>
        <row r="117">
          <cell r="A117" t="str">
            <v>Del_Santosh Kumar (1008627)</v>
          </cell>
        </row>
        <row r="118">
          <cell r="A118" t="str">
            <v>Del_Santosh Kumar (1008628)</v>
          </cell>
        </row>
        <row r="119">
          <cell r="A119" t="str">
            <v>Del_Sapna Sharma (1008629)</v>
          </cell>
        </row>
        <row r="120">
          <cell r="A120" t="str">
            <v>Del_Saroj Parita (1008630)</v>
          </cell>
        </row>
        <row r="121">
          <cell r="A121" t="str">
            <v>Del_Shailaja Kamal (1008631)</v>
          </cell>
        </row>
        <row r="122">
          <cell r="A122" t="str">
            <v>Del_Shailendra Barge (1008632)</v>
          </cell>
        </row>
        <row r="123">
          <cell r="A123" t="str">
            <v>Del_Shankar Attendant (1008633)</v>
          </cell>
        </row>
        <row r="124">
          <cell r="A124" t="str">
            <v>Del_Shashikant Tiwari (1008634)</v>
          </cell>
        </row>
        <row r="125">
          <cell r="A125" t="str">
            <v>Del_Sheeba Joseph (1008635)</v>
          </cell>
        </row>
        <row r="126">
          <cell r="A126" t="str">
            <v>Del_Sheena Joseph (1008636)</v>
          </cell>
        </row>
        <row r="127">
          <cell r="A127" t="str">
            <v>Del_Shephali Jain (1008637)</v>
          </cell>
        </row>
        <row r="128">
          <cell r="A128" t="str">
            <v>Del_Shivji Prasad (1008638)</v>
          </cell>
        </row>
        <row r="129">
          <cell r="A129" t="str">
            <v>Del_Shubhanjali Joshi (1008639)</v>
          </cell>
        </row>
        <row r="130">
          <cell r="A130" t="str">
            <v>Del_Shyamal Malakar (1008640)</v>
          </cell>
        </row>
        <row r="131">
          <cell r="A131" t="str">
            <v>Del_Sneh Khan (1008641)</v>
          </cell>
        </row>
        <row r="132">
          <cell r="A132" t="str">
            <v>Del_Sonaram Munda (1008642)</v>
          </cell>
        </row>
        <row r="133">
          <cell r="A133" t="str">
            <v>Del_Sudama Kumar (1008643)</v>
          </cell>
        </row>
        <row r="134">
          <cell r="A134" t="str">
            <v>Del_Sudhir Kumar (1008644)</v>
          </cell>
        </row>
        <row r="135">
          <cell r="A135" t="str">
            <v>Del_Sunil Kumar (1008645)</v>
          </cell>
        </row>
        <row r="136">
          <cell r="A136" t="str">
            <v>Del_Sunil Kumar (1008646)</v>
          </cell>
        </row>
        <row r="137">
          <cell r="A137" t="str">
            <v>Del_Sunita Chawla (1008647)</v>
          </cell>
        </row>
        <row r="138">
          <cell r="A138" t="str">
            <v>Del_Sunita Madnani (1008648)</v>
          </cell>
        </row>
        <row r="139">
          <cell r="A139" t="str">
            <v>Del_Surendra Kumar (1008649)</v>
          </cell>
        </row>
        <row r="140">
          <cell r="A140" t="str">
            <v>Del_Surendranath Thakur (1008650)</v>
          </cell>
        </row>
        <row r="141">
          <cell r="A141" t="str">
            <v>Del_Sushma Khandelwal (1008651)</v>
          </cell>
        </row>
        <row r="142">
          <cell r="A142" t="str">
            <v>Del_Swarnlata Borse (1008652)</v>
          </cell>
        </row>
        <row r="143">
          <cell r="A143" t="str">
            <v>Del_Syed Naved (1008653)</v>
          </cell>
        </row>
        <row r="144">
          <cell r="A144" t="str">
            <v>Del_Syed Saqib (1008654)</v>
          </cell>
        </row>
        <row r="145">
          <cell r="A145" t="str">
            <v>Del_Syed Sohail (1008655)</v>
          </cell>
        </row>
        <row r="146">
          <cell r="A146" t="str">
            <v>Del_System Operator (1008656)</v>
          </cell>
        </row>
        <row r="147">
          <cell r="A147" t="str">
            <v>Del_Tahira Qureshi (1008657)</v>
          </cell>
        </row>
        <row r="148">
          <cell r="A148" t="str">
            <v>Del_Tapas Chakraborty (1008658)</v>
          </cell>
        </row>
        <row r="149">
          <cell r="A149" t="str">
            <v>Del_Tariq Akhlaq (1008659)</v>
          </cell>
        </row>
        <row r="150">
          <cell r="A150" t="str">
            <v>Del_Tasneem Khan (1008660)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s" refreshedDate="46282.754760069445" createdVersion="8" refreshedVersion="8" minRefreshableVersion="3" recordCount="149" xr:uid="{2F6A8F53-D571-4D37-8D03-B60F46204FFA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B12A99-55FC-4722-83EF-67871CE0C3E1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E4:F14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10">
    <i>
      <x v="5"/>
    </i>
    <i>
      <x v="15"/>
    </i>
    <i>
      <x v="22"/>
    </i>
    <i>
      <x v="39"/>
    </i>
    <i>
      <x v="41"/>
    </i>
    <i>
      <x v="52"/>
    </i>
    <i>
      <x v="56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9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10">
            <x v="5"/>
            <x v="15"/>
            <x v="22"/>
            <x v="39"/>
            <x v="41"/>
            <x v="52"/>
            <x v="56"/>
            <x v="85"/>
            <x v="109"/>
            <x v="126"/>
          </reference>
        </references>
      </pivotArea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10">
            <x v="5"/>
            <x v="15"/>
            <x v="22"/>
            <x v="39"/>
            <x v="41"/>
            <x v="52"/>
            <x v="56"/>
            <x v="85"/>
            <x v="109"/>
            <x v="126"/>
          </reference>
        </references>
      </pivotArea>
    </format>
    <format dxfId="0">
      <pivotArea dataOnly="0" labelOnly="1" outline="0" axis="axisValues" fieldPosition="0"/>
    </format>
  </formats>
  <chartFormats count="1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</chartFormats>
  <pivotTableStyleInfo name="PivotStyleLight19" showRowHeaders="1" showColHeaders="1" showRowStripes="0" showColStripes="0" showLastColumn="1"/>
  <filters count="1">
    <filter fld="1" type="count" evalOrder="-1" id="6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C03F3-FA5F-40C9-A372-8BD3B7DF6302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loyee Total Number of wo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filters count="1">
    <filter fld="1" type="count" evalOrder="-1" id="45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5B1B3-5274-4A0C-ACD6-71E634365550}">
  <sheetPr codeName="Sheet1"/>
  <dimension ref="A1:I150"/>
  <sheetViews>
    <sheetView tabSelected="1" workbookViewId="0">
      <selection activeCell="K8" sqref="K8"/>
    </sheetView>
  </sheetViews>
  <sheetFormatPr defaultRowHeight="14.5" x14ac:dyDescent="0.35"/>
  <cols>
    <col min="1" max="1" width="28.90625" bestFit="1" customWidth="1"/>
    <col min="2" max="2" width="8.08984375" bestFit="1" customWidth="1"/>
    <col min="3" max="3" width="13.6328125" bestFit="1" customWidth="1"/>
    <col min="4" max="4" width="9.81640625" bestFit="1" customWidth="1"/>
    <col min="5" max="5" width="8.6328125" bestFit="1" customWidth="1"/>
    <col min="6" max="6" width="8.453125" bestFit="1" customWidth="1"/>
    <col min="7" max="7" width="16.453125" bestFit="1" customWidth="1"/>
    <col min="8" max="8" width="11.6328125" bestFit="1" customWidth="1"/>
    <col min="9" max="9" width="17.72656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sheetProtection algorithmName="SHA-512" hashValue="goxvrR3l9OMBPVOiJaep01GPi7YX+pxbQwlIalW/iW7G4yvEf9WBna3UZWwf5U1049oG+HKzpQuCjznSD77oxg==" saltValue="Azwsj1ZSYQkkzYgeDyqD3g==" spinCount="100000" sheet="1" objects="1" scenarios="1" selectLockedCells="1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21A0A-6774-43E3-AAD1-DEEEFEAFF974}">
  <sheetPr codeName="Sheet2"/>
  <dimension ref="A1:Q150"/>
  <sheetViews>
    <sheetView zoomScale="69" workbookViewId="0">
      <selection activeCell="C4" sqref="C4"/>
    </sheetView>
  </sheetViews>
  <sheetFormatPr defaultRowHeight="14.5" x14ac:dyDescent="0.35"/>
  <cols>
    <col min="1" max="1" width="28.90625" bestFit="1" customWidth="1"/>
    <col min="2" max="2" width="20" bestFit="1" customWidth="1"/>
    <col min="3" max="3" width="15.54296875" bestFit="1" customWidth="1"/>
    <col min="4" max="4" width="14.36328125" bestFit="1" customWidth="1"/>
    <col min="5" max="5" width="23.54296875" bestFit="1" customWidth="1"/>
    <col min="6" max="6" width="16.81640625" bestFit="1" customWidth="1"/>
    <col min="7" max="7" width="11.7265625" bestFit="1" customWidth="1"/>
    <col min="8" max="8" width="6.1796875" bestFit="1" customWidth="1"/>
    <col min="9" max="9" width="15.36328125" bestFit="1" customWidth="1"/>
    <col min="10" max="10" width="12.453125" bestFit="1" customWidth="1"/>
    <col min="11" max="11" width="18.1796875" bestFit="1" customWidth="1"/>
    <col min="12" max="12" width="13.36328125" bestFit="1" customWidth="1"/>
    <col min="13" max="13" width="14.453125" bestFit="1" customWidth="1"/>
    <col min="14" max="14" width="10.453125" bestFit="1" customWidth="1"/>
    <col min="15" max="15" width="16.7265625" bestFit="1" customWidth="1"/>
    <col min="16" max="16" width="15.08984375" bestFit="1" customWidth="1"/>
    <col min="17" max="17" width="8.1796875" bestFit="1" customWidth="1"/>
  </cols>
  <sheetData>
    <row r="1" spans="1:17" ht="18.5" customHeight="1" x14ac:dyDescent="0.3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5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5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5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5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5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5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5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5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5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5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5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5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5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5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5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5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5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5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5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5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5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5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5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5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5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5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5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5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5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5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5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5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5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5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5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5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5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5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5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5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5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5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5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5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5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5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5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5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5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5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5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5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5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5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5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5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5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5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5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5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5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5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5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5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5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5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5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5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5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5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5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5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5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5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5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5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5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5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5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5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5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5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5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5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5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5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5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5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5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5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5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5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5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5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5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5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5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5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5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5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5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5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5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5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5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5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5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5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5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5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5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5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5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5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5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5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5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5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5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5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5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5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5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5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5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5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5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5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5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5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5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5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5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5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5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5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5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5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5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5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5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5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5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5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5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5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5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5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5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sheetProtection algorithmName="SHA-512" hashValue="l1sL8qQxixE0qRPhNvybsTlU+9NDTotF3XDGHmSx7l/mIvEmSmlZSooiIH0zw/zg73dxfnRPGzYC0qgqa5986Q==" saltValue="iy0voI0yyrheUhY+2ath5A==" spinCount="100000" sheet="1" objects="1" scenarios="1" selectLockedCells="1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5539-8727-4246-9CE8-19C3D4259B5A}">
  <sheetPr codeName="Sheet3"/>
  <dimension ref="A1:J150"/>
  <sheetViews>
    <sheetView workbookViewId="0">
      <selection activeCell="K2" sqref="K2"/>
    </sheetView>
  </sheetViews>
  <sheetFormatPr defaultRowHeight="14.5" x14ac:dyDescent="0.35"/>
  <cols>
    <col min="1" max="1" width="28.90625" bestFit="1" customWidth="1"/>
    <col min="2" max="2" width="14.36328125" bestFit="1" customWidth="1"/>
    <col min="3" max="3" width="16.54296875" bestFit="1" customWidth="1"/>
    <col min="4" max="4" width="16.6328125" bestFit="1" customWidth="1"/>
    <col min="5" max="5" width="15.08984375" bestFit="1" customWidth="1"/>
    <col min="6" max="6" width="10" bestFit="1" customWidth="1"/>
    <col min="7" max="7" width="17.54296875" bestFit="1" customWidth="1"/>
    <col min="8" max="8" width="24.6328125" bestFit="1" customWidth="1"/>
    <col min="9" max="9" width="23.36328125" bestFit="1" customWidth="1"/>
    <col min="10" max="10" width="20.08984375" customWidth="1"/>
    <col min="11" max="11" width="8.7265625" customWidth="1"/>
  </cols>
  <sheetData>
    <row r="1" spans="1:10" ht="15" customHeight="1" x14ac:dyDescent="0.3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5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5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5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5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5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5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5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5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5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5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5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5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5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5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5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5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5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5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5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5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5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5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5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5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5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5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5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5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5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5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5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5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5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5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5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5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5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5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5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5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5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5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5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5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5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5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5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5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5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5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5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5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5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5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5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5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5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5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5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5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5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5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5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5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5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5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5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5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5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5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5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5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5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5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5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5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5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5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5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5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5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5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5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5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5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5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5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5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5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5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5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5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5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5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5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5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5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5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5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5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5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5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5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5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5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5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5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5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5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5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5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5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5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5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5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5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5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5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5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5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5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5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5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5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5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5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5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5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5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5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5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5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5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5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5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5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5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5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5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5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5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5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5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5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5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5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5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5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5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sheetProtection algorithmName="SHA-512" hashValue="2lLo9VTSqvnPlf+DTuARwoNKpOiYlbjhxSZ2QdlRHp2giXoUcAxeRfzJ/JVWCWMOUYRS0NpqE6Ce4YBCao0puQ==" saltValue="lkh6smPnAyxnLSK3WlNmHQ==" spinCount="100000" sheet="1" objects="1" scenarios="1" selectLockedCells="1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F2A5-7AF3-4866-8C17-7FBA2227A8E0}">
  <sheetPr codeName="Sheet4"/>
  <dimension ref="A1:G150"/>
  <sheetViews>
    <sheetView zoomScale="75" workbookViewId="0">
      <selection activeCell="H17" sqref="H17"/>
    </sheetView>
  </sheetViews>
  <sheetFormatPr defaultRowHeight="14.5" x14ac:dyDescent="0.35"/>
  <cols>
    <col min="1" max="1" width="31.81640625" bestFit="1" customWidth="1"/>
    <col min="2" max="2" width="19" bestFit="1" customWidth="1"/>
    <col min="3" max="3" width="25.7265625" bestFit="1" customWidth="1"/>
    <col min="4" max="4" width="12.1796875" bestFit="1" customWidth="1"/>
    <col min="5" max="5" width="14.7265625" bestFit="1" customWidth="1"/>
    <col min="6" max="6" width="11.7265625" bestFit="1" customWidth="1"/>
    <col min="7" max="7" width="13.6328125" bestFit="1" customWidth="1"/>
  </cols>
  <sheetData>
    <row r="1" spans="1:7" ht="17" customHeight="1" x14ac:dyDescent="0.35">
      <c r="A1" s="7" t="str">
        <f>[1]Break!A1</f>
        <v>Employee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35">
      <c r="A2" t="str">
        <f>[2]Break!A2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TIMEVALUE(VLOOKUP(A2,EData,2,0))</f>
        <v>0.34424768518518517</v>
      </c>
      <c r="D2" s="11">
        <f t="shared" ref="D2:D33" si="1">TIMEVALUE(VLOOKUP(A2,EData,3,0))</f>
        <v>0.20693287037037036</v>
      </c>
      <c r="E2" s="11">
        <f t="shared" ref="E2:E33" si="2">TIMEVALUE(VLOOKUP(A2,BData,9,0))</f>
        <v>4.7708333333333332E-2</v>
      </c>
      <c r="F2">
        <f t="shared" ref="F2:F33" si="3">VLOOKUP(A2,PData,2,0)</f>
        <v>98</v>
      </c>
      <c r="G2" s="12">
        <f t="shared" ref="G2:G33" si="4">VLOOKUP(A2,EData,6,0)</f>
        <v>0.55697138822580095</v>
      </c>
    </row>
    <row r="3" spans="1:7" x14ac:dyDescent="0.35">
      <c r="A3" t="str">
        <f>[2]Break!A3</f>
        <v>Mum_Afzal Husain (1008513)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5">
      <c r="A4" t="str">
        <f>[2]Break!A4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5">
      <c r="A5" t="str">
        <f>[2]Break!A5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5">
      <c r="A6" t="str">
        <f>[2]Break!A6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5">
      <c r="A7" t="str">
        <f>[2]Break!A7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5">
      <c r="A8" t="str">
        <f>[2]Break!A8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5">
      <c r="A9" t="str">
        <f>[2]Break!A9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5">
      <c r="A10" t="str">
        <f>[2]Break!A10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5">
      <c r="A11" t="str">
        <f>[2]Break!A11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5">
      <c r="A12" t="str">
        <f>[2]Break!A12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5">
      <c r="A13" t="str">
        <f>[2]Break!A13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5">
      <c r="A14" t="str">
        <f>[2]Break!A14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5">
      <c r="A15" t="str">
        <f>[2]Break!A15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5">
      <c r="A16" t="str">
        <f>[2]Break!A16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5">
      <c r="A17" t="str">
        <f>[2]Break!A17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5">
      <c r="A18" t="str">
        <f>[2]Break!A18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5">
      <c r="A19" t="str">
        <f>[2]Break!A19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5">
      <c r="A20" t="str">
        <f>[2]Break!A20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5">
      <c r="A21" t="str">
        <f>[2]Break!A21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5">
      <c r="A22" t="str">
        <f>[2]Break!A22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5">
      <c r="A23" t="str">
        <f>[2]Break!A23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5">
      <c r="A24" t="str">
        <f>[2]Break!A24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5">
      <c r="A25" t="str">
        <f>[2]Break!A25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5">
      <c r="A26" t="str">
        <f>[2]Break!A26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5">
      <c r="A27" t="str">
        <f>[2]Break!A27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5">
      <c r="A28" t="str">
        <f>[2]Break!A28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5">
      <c r="A29" t="str">
        <f>[2]Break!A29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5">
      <c r="A30" t="str">
        <f>[2]Break!A30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5">
      <c r="A31" t="str">
        <f>[2]Break!A31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5">
      <c r="A32" t="str">
        <f>[2]Break!A32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5">
      <c r="A33" t="str">
        <f>[2]Break!A33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5">
      <c r="A34" t="str">
        <f>[2]Break!A34</f>
        <v>Hyd_Jagdish Chandra (1008544)</v>
      </c>
      <c r="B34" t="str">
        <f t="shared" si="5"/>
        <v>Jagdish Chandra</v>
      </c>
      <c r="C34" s="11">
        <f t="shared" ref="C34:C65" si="6">TIMEVALUE(VLOOKUP(A34,EData,2,0))</f>
        <v>0.34664351851851855</v>
      </c>
      <c r="D34" s="11">
        <f t="shared" ref="D34:D65" si="7">TIMEVALUE(VLOOKUP(A34,EData,3,0))</f>
        <v>0.20781250000000001</v>
      </c>
      <c r="E34" s="11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5">
      <c r="A35" t="str">
        <f>[2]Break!A35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5">
      <c r="A36" t="str">
        <f>[2]Break!A36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5">
      <c r="A37" t="str">
        <f>[2]Break!A37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5">
      <c r="A38" t="str">
        <f>[2]Break!A38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5">
      <c r="A39" t="str">
        <f>[2]Break!A39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5">
      <c r="A40" t="str">
        <f>[2]Break!A40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5">
      <c r="A41" t="str">
        <f>[2]Break!A41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5">
      <c r="A42" t="str">
        <f>[2]Break!A42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5">
      <c r="A43" t="str">
        <f>[2]Break!A43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5">
      <c r="A44" t="str">
        <f>[2]Break!A44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5">
      <c r="A45" t="str">
        <f>[2]Break!A45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5">
      <c r="A46" t="str">
        <f>[2]Break!A46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5">
      <c r="A47" t="str">
        <f>[2]Break!A47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5">
      <c r="A48" t="str">
        <f>[2]Break!A48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5">
      <c r="A49" t="str">
        <f>[2]Break!A49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5">
      <c r="A50" t="str">
        <f>[2]Break!A50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5">
      <c r="A51" t="str">
        <f>[2]Break!A51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5">
      <c r="A52" t="str">
        <f>[2]Break!A52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5">
      <c r="A53" t="str">
        <f>[2]Break!A53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5">
      <c r="A54" t="str">
        <f>[2]Break!A54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5">
      <c r="A55" t="str">
        <f>[2]Break!A55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5">
      <c r="A56" t="str">
        <f>[2]Break!A56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5">
      <c r="A57" t="str">
        <f>[2]Break!A57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5">
      <c r="A58" t="str">
        <f>[2]Break!A58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5">
      <c r="A59" t="str">
        <f>[2]Break!A59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5">
      <c r="A60" t="str">
        <f>[2]Break!A60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5">
      <c r="A61" t="str">
        <f>[2]Break!A61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5">
      <c r="A62" t="str">
        <f>[2]Break!A62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5">
      <c r="A63" t="str">
        <f>[2]Break!A63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5">
      <c r="A64" t="str">
        <f>[2]Break!A64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5">
      <c r="A65" t="str">
        <f>[2]Break!A65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5">
      <c r="A66" t="str">
        <f>[2]Break!A66</f>
        <v>Hyd_Mukesh Nagar (1008576)</v>
      </c>
      <c r="B66" t="str">
        <f t="shared" si="5"/>
        <v>Mukesh Nagar</v>
      </c>
      <c r="C66" s="11">
        <f t="shared" ref="C66:C97" si="11">TIMEVALUE(VLOOKUP(A66,EData,2,0))</f>
        <v>0.20910879629629631</v>
      </c>
      <c r="D66" s="11">
        <f t="shared" ref="D66:D97" si="12">TIMEVALUE(VLOOKUP(A66,EData,3,0))</f>
        <v>0.13449074074074074</v>
      </c>
      <c r="E66" s="11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5">
      <c r="A67" t="str">
        <f>[2]Break!A67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5">
      <c r="A68" t="str">
        <f>[2]Break!A68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5">
      <c r="A69" t="str">
        <f>[2]Break!A69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5">
      <c r="A70" t="str">
        <f>[2]Break!A70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5">
      <c r="A71" t="str">
        <f>[2]Break!A71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5">
      <c r="A72" t="str">
        <f>[2]Break!A72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5">
      <c r="A73" t="str">
        <f>[2]Break!A73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5">
      <c r="A74" t="str">
        <f>[2]Break!A74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5">
      <c r="A75" t="str">
        <f>[2]Break!A75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5">
      <c r="A76" t="str">
        <f>[2]Break!A76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5">
      <c r="A77" t="str">
        <f>[2]Break!A77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5">
      <c r="A78" t="str">
        <f>[2]Break!A78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5">
      <c r="A79" t="str">
        <f>[2]Break!A79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5">
      <c r="A80" t="str">
        <f>[2]Break!A80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5">
      <c r="A81" t="str">
        <f>[2]Break!A81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5">
      <c r="A82" t="str">
        <f>[2]Break!A82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5">
      <c r="A83" t="str">
        <f>[2]Break!A83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5">
      <c r="A84" t="str">
        <f>[2]Break!A84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5">
      <c r="A85" t="str">
        <f>[2]Break!A85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5">
      <c r="A86" t="str">
        <f>[2]Break!A86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5">
      <c r="A87" t="str">
        <f>[2]Break!A87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5">
      <c r="A88" t="str">
        <f>[2]Break!A88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5">
      <c r="A89" t="str">
        <f>[2]Break!A89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5">
      <c r="A90" t="str">
        <f>[2]Break!A90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5">
      <c r="A91" t="str">
        <f>[2]Break!A91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5">
      <c r="A92" t="str">
        <f>[2]Break!A92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5">
      <c r="A93" t="str">
        <f>[2]Break!A93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5">
      <c r="A94" t="str">
        <f>[2]Break!A94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5">
      <c r="A95" t="str">
        <f>[2]Break!A95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5">
      <c r="A96" t="str">
        <f>[2]Break!A96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5">
      <c r="A97" t="str">
        <f>[2]Break!A97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5">
      <c r="A98" t="str">
        <f>[2]Break!A98</f>
        <v>Del_Rashid (1008608)</v>
      </c>
      <c r="B98" t="str">
        <f t="shared" si="16"/>
        <v>Rashid</v>
      </c>
      <c r="C98" s="11">
        <f t="shared" ref="C98:C129" si="17">TIMEVALUE(VLOOKUP(A98,EData,2,0))</f>
        <v>0.33483796296296298</v>
      </c>
      <c r="D98" s="11">
        <f t="shared" ref="D98:D129" si="18">TIMEVALUE(VLOOKUP(A98,EData,3,0))</f>
        <v>6.6759259259259254E-2</v>
      </c>
      <c r="E98" s="11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5">
      <c r="A99" t="str">
        <f>[2]Break!A99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5">
      <c r="A100" t="str">
        <f>[2]Break!A100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5">
      <c r="A101" t="str">
        <f>[2]Break!A101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5">
      <c r="A102" t="str">
        <f>[2]Break!A102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5">
      <c r="A103" t="str">
        <f>[2]Break!A103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5">
      <c r="A104" t="str">
        <f>[2]Break!A104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5">
      <c r="A105" t="str">
        <f>[2]Break!A105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5">
      <c r="A106" t="str">
        <f>[2]Break!A106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5">
      <c r="A107" t="str">
        <f>[2]Break!A107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5">
      <c r="A108" t="str">
        <f>[2]Break!A108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5">
      <c r="A109" t="str">
        <f>[2]Break!A109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5">
      <c r="A110" t="str">
        <f>[2]Break!A110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5">
      <c r="A111" t="str">
        <f>[2]Break!A111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5">
      <c r="A112" t="str">
        <f>[2]Break!A112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5">
      <c r="A113" t="str">
        <f>[2]Break!A113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5">
      <c r="A114" t="str">
        <f>[2]Break!A114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5">
      <c r="A115" t="str">
        <f>[2]Break!A115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5">
      <c r="A116" t="str">
        <f>[2]Break!A116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5">
      <c r="A117" t="str">
        <f>[2]Break!A117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5">
      <c r="A118" t="str">
        <f>[2]Break!A118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5">
      <c r="A119" t="str">
        <f>[2]Break!A119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5">
      <c r="A120" t="str">
        <f>[2]Break!A120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5">
      <c r="A121" t="str">
        <f>[2]Break!A121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5">
      <c r="A122" t="str">
        <f>[2]Break!A122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5">
      <c r="A123" t="str">
        <f>[2]Break!A123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5">
      <c r="A124" t="str">
        <f>[2]Break!A124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5">
      <c r="A125" t="str">
        <f>[2]Break!A125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5">
      <c r="A126" t="str">
        <f>[2]Break!A126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5">
      <c r="A127" t="str">
        <f>[2]Break!A127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5">
      <c r="A128" t="str">
        <f>[2]Break!A128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5">
      <c r="A129" t="str">
        <f>[2]Break!A129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5">
      <c r="A130" t="str">
        <f>[2]Break!A130</f>
        <v>Del_Shyamal Malakar (1008640)</v>
      </c>
      <c r="B130" t="str">
        <f t="shared" si="16"/>
        <v>Shyamal Malakar</v>
      </c>
      <c r="C130" s="11">
        <f t="shared" ref="C130:C150" si="22">TIMEVALUE(VLOOKUP(A130,EData,2,0))</f>
        <v>0.34416666666666668</v>
      </c>
      <c r="D130" s="11">
        <f t="shared" ref="D130:D150" si="23">TIMEVALUE(VLOOKUP(A130,EData,3,0))</f>
        <v>0.12054398148148149</v>
      </c>
      <c r="E130" s="11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5">
      <c r="A131" t="str">
        <f>[2]Break!A131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5">
      <c r="A132" t="str">
        <f>[2]Break!A132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5">
      <c r="A133" t="str">
        <f>[2]Break!A133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5">
      <c r="A134" t="str">
        <f>[2]Break!A134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5">
      <c r="A135" t="str">
        <f>[2]Break!A135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5">
      <c r="A136" t="str">
        <f>[2]Break!A136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5">
      <c r="A137" t="str">
        <f>[2]Break!A137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5">
      <c r="A138" t="str">
        <f>[2]Break!A138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5">
      <c r="A139" t="str">
        <f>[2]Break!A139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5">
      <c r="A140" t="str">
        <f>[2]Break!A140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5">
      <c r="A141" t="str">
        <f>[2]Break!A141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5">
      <c r="A142" t="str">
        <f>[2]Break!A142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5">
      <c r="A143" t="str">
        <f>[2]Break!A143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5">
      <c r="A144" t="str">
        <f>[2]Break!A144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5">
      <c r="A145" t="str">
        <f>[2]Break!A145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5">
      <c r="A146" t="str">
        <f>[2]Break!A146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5">
      <c r="A147" t="str">
        <f>[2]Break!A147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5">
      <c r="A148" t="str">
        <f>[2]Break!A148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5">
      <c r="A149" t="str">
        <f>[2]Break!A149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5">
      <c r="A150" t="str">
        <f>[2]Break!A150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sheetProtection algorithmName="SHA-512" hashValue="u27LTNzp8MeO+BuUeA6PN4StPr1hRAxt0cxwiDEd7lRieMdYeU7BNyAbJ4X91qh0M/KNGynwVkNJ+YGifAYudw==" saltValue="OwFzgGlym0eMucoW/T1cTA==" spinCount="100000" sheet="1" objects="1" scenarios="1" selectLockedCells="1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087AF-6310-4303-A6FE-B529277EFAA4}">
  <sheetPr codeName="Sheet5"/>
  <dimension ref="A1:K52"/>
  <sheetViews>
    <sheetView zoomScale="80" workbookViewId="0">
      <selection activeCell="F24" sqref="F24"/>
    </sheetView>
  </sheetViews>
  <sheetFormatPr defaultRowHeight="14.5" x14ac:dyDescent="0.35"/>
  <cols>
    <col min="1" max="1" width="13" bestFit="1" customWidth="1"/>
    <col min="2" max="2" width="37.26953125" customWidth="1"/>
    <col min="5" max="5" width="18.26953125" customWidth="1"/>
    <col min="6" max="6" width="37" customWidth="1"/>
    <col min="7" max="7" width="18.7265625" customWidth="1"/>
    <col min="8" max="8" width="35.08984375" customWidth="1"/>
  </cols>
  <sheetData>
    <row r="1" spans="1:8" x14ac:dyDescent="0.35">
      <c r="A1" s="18"/>
      <c r="B1" s="18"/>
      <c r="C1" s="15">
        <v>4</v>
      </c>
      <c r="D1" s="19"/>
      <c r="E1" s="18"/>
      <c r="F1" s="18"/>
      <c r="G1" s="19"/>
      <c r="H1" s="19"/>
    </row>
    <row r="2" spans="1:8" ht="28" customHeight="1" x14ac:dyDescent="0.35">
      <c r="A2" s="18"/>
      <c r="B2" s="18"/>
      <c r="C2" s="20">
        <v>10</v>
      </c>
      <c r="D2" s="19"/>
      <c r="E2" s="18"/>
      <c r="F2" s="18"/>
      <c r="G2" s="19"/>
      <c r="H2" s="19"/>
    </row>
    <row r="3" spans="1:8" ht="24" customHeight="1" x14ac:dyDescent="0.5">
      <c r="A3" s="16" t="s">
        <v>1011</v>
      </c>
      <c r="B3" s="17"/>
      <c r="C3" s="19"/>
      <c r="D3" s="19"/>
      <c r="E3" s="16" t="s">
        <v>1013</v>
      </c>
      <c r="F3" s="17"/>
      <c r="G3" s="19"/>
      <c r="H3" s="19"/>
    </row>
    <row r="4" spans="1:8" x14ac:dyDescent="0.35">
      <c r="A4" s="13" t="s">
        <v>1003</v>
      </c>
      <c r="B4" t="s">
        <v>1010</v>
      </c>
      <c r="C4" s="19"/>
      <c r="D4" s="19"/>
      <c r="E4" s="19" t="s">
        <v>1003</v>
      </c>
      <c r="F4" s="19" t="s">
        <v>1012</v>
      </c>
      <c r="G4" s="19"/>
      <c r="H4" s="19"/>
    </row>
    <row r="5" spans="1:8" x14ac:dyDescent="0.35">
      <c r="A5" s="14" t="s">
        <v>1005</v>
      </c>
      <c r="B5" s="11">
        <v>1.3668402777777779</v>
      </c>
      <c r="C5" s="19"/>
      <c r="D5" s="19"/>
      <c r="E5" s="21" t="s">
        <v>1004</v>
      </c>
      <c r="F5" s="22">
        <v>0.65495030262646503</v>
      </c>
      <c r="G5" s="19"/>
      <c r="H5" s="19"/>
    </row>
    <row r="6" spans="1:8" x14ac:dyDescent="0.35">
      <c r="A6" s="14" t="s">
        <v>1007</v>
      </c>
      <c r="B6" s="11">
        <v>0.67937500000000006</v>
      </c>
      <c r="C6" s="19"/>
      <c r="D6" s="19"/>
      <c r="E6" s="21" t="s">
        <v>1005</v>
      </c>
      <c r="F6" s="22">
        <v>2.0905948641136138</v>
      </c>
      <c r="G6" s="19"/>
      <c r="H6" s="19"/>
    </row>
    <row r="7" spans="1:8" x14ac:dyDescent="0.35">
      <c r="A7" s="14" t="s">
        <v>1008</v>
      </c>
      <c r="B7" s="11">
        <v>1.0142939814814815</v>
      </c>
      <c r="C7" s="19"/>
      <c r="D7" s="19"/>
      <c r="E7" s="21" t="s">
        <v>1014</v>
      </c>
      <c r="F7" s="22">
        <v>0.65029060203969702</v>
      </c>
      <c r="G7" s="19"/>
      <c r="H7" s="19"/>
    </row>
    <row r="8" spans="1:8" x14ac:dyDescent="0.35">
      <c r="A8" s="14" t="s">
        <v>1009</v>
      </c>
      <c r="B8" s="11">
        <v>0.67259259259259263</v>
      </c>
      <c r="C8" s="19"/>
      <c r="D8" s="19"/>
      <c r="E8" s="21" t="s">
        <v>1015</v>
      </c>
      <c r="F8" s="22">
        <v>0.64380836602751801</v>
      </c>
      <c r="G8" s="19"/>
      <c r="H8" s="19"/>
    </row>
    <row r="9" spans="1:8" x14ac:dyDescent="0.35">
      <c r="C9" s="19"/>
      <c r="D9" s="19"/>
      <c r="E9" s="21" t="s">
        <v>1016</v>
      </c>
      <c r="F9" s="22">
        <v>0.64717479317021698</v>
      </c>
      <c r="G9" s="19"/>
      <c r="H9" s="19"/>
    </row>
    <row r="10" spans="1:8" x14ac:dyDescent="0.35">
      <c r="C10" s="19"/>
      <c r="D10" s="19"/>
      <c r="E10" s="21" t="s">
        <v>1006</v>
      </c>
      <c r="F10" s="22">
        <v>1.064298009533315</v>
      </c>
      <c r="G10" s="19"/>
      <c r="H10" s="19"/>
    </row>
    <row r="11" spans="1:8" x14ac:dyDescent="0.35">
      <c r="C11" s="19"/>
      <c r="D11" s="19"/>
      <c r="E11" s="21" t="s">
        <v>1017</v>
      </c>
      <c r="F11" s="22">
        <v>0.62762080802746201</v>
      </c>
      <c r="G11" s="19"/>
      <c r="H11" s="19"/>
    </row>
    <row r="12" spans="1:8" x14ac:dyDescent="0.35">
      <c r="C12" s="19"/>
      <c r="D12" s="19"/>
      <c r="E12" s="21" t="s">
        <v>1007</v>
      </c>
      <c r="F12" s="22">
        <v>1.122824596941316</v>
      </c>
      <c r="G12" s="19"/>
      <c r="H12" s="19"/>
    </row>
    <row r="13" spans="1:8" x14ac:dyDescent="0.35">
      <c r="C13" s="19"/>
      <c r="D13" s="19"/>
      <c r="E13" s="21" t="s">
        <v>1008</v>
      </c>
      <c r="F13" s="22">
        <v>1.7236731368386569</v>
      </c>
      <c r="G13" s="19"/>
      <c r="H13" s="19"/>
    </row>
    <row r="14" spans="1:8" x14ac:dyDescent="0.35">
      <c r="C14" s="19"/>
      <c r="D14" s="19"/>
      <c r="E14" s="21" t="s">
        <v>1009</v>
      </c>
      <c r="F14" s="22">
        <v>0.80510133036211395</v>
      </c>
      <c r="G14" s="19"/>
      <c r="H14" s="19"/>
    </row>
    <row r="15" spans="1:8" x14ac:dyDescent="0.35">
      <c r="C15" s="19"/>
      <c r="D15" s="19"/>
      <c r="E15" s="19"/>
      <c r="F15" s="19"/>
      <c r="G15" s="19"/>
      <c r="H15" s="19"/>
    </row>
    <row r="16" spans="1:8" x14ac:dyDescent="0.35">
      <c r="C16" s="19"/>
      <c r="D16" s="19"/>
      <c r="E16" s="19"/>
      <c r="F16" s="19"/>
      <c r="G16" s="19"/>
      <c r="H16" s="19"/>
    </row>
    <row r="17" spans="1:11" x14ac:dyDescent="0.35">
      <c r="C17" s="19"/>
      <c r="D17" s="19"/>
      <c r="E17" s="19"/>
      <c r="F17" s="19"/>
      <c r="G17" s="19"/>
      <c r="H17" s="19"/>
    </row>
    <row r="18" spans="1:11" x14ac:dyDescent="0.35">
      <c r="C18" s="19"/>
      <c r="D18" s="19"/>
      <c r="E18" s="19"/>
      <c r="F18" s="19"/>
      <c r="G18" s="19"/>
      <c r="H18" s="19"/>
    </row>
    <row r="19" spans="1:11" x14ac:dyDescent="0.35">
      <c r="C19" s="19"/>
      <c r="D19" s="19"/>
      <c r="E19" s="19"/>
      <c r="F19" s="19"/>
      <c r="G19" s="19"/>
      <c r="H19" s="19"/>
    </row>
    <row r="20" spans="1:11" x14ac:dyDescent="0.35">
      <c r="C20" s="19"/>
      <c r="D20" s="19"/>
      <c r="E20" s="19"/>
      <c r="F20" s="19"/>
      <c r="G20" s="19"/>
      <c r="H20" s="19"/>
    </row>
    <row r="21" spans="1:11" x14ac:dyDescent="0.35">
      <c r="C21" s="19"/>
      <c r="D21" s="19"/>
      <c r="E21" s="19"/>
      <c r="F21" s="19"/>
      <c r="G21" s="19"/>
      <c r="H21" s="19"/>
    </row>
    <row r="22" spans="1:11" x14ac:dyDescent="0.35">
      <c r="A22" s="19"/>
      <c r="B22" s="19"/>
      <c r="C22" s="19"/>
      <c r="D22" s="19"/>
      <c r="E22" s="19"/>
      <c r="F22" s="19"/>
      <c r="G22" s="19"/>
      <c r="H22" s="19"/>
    </row>
    <row r="23" spans="1:11" x14ac:dyDescent="0.35">
      <c r="A23" s="19"/>
      <c r="B23" s="19"/>
      <c r="C23" s="19"/>
      <c r="D23" s="19"/>
      <c r="E23" s="19"/>
      <c r="F23" s="19"/>
      <c r="G23" s="19"/>
      <c r="H23" s="19"/>
    </row>
    <row r="24" spans="1:11" x14ac:dyDescent="0.35">
      <c r="A24" s="19"/>
      <c r="B24" s="19"/>
      <c r="C24" s="19"/>
      <c r="D24" s="19"/>
      <c r="E24" s="19"/>
      <c r="F24" s="19"/>
      <c r="G24" s="19"/>
      <c r="H24" s="19"/>
    </row>
    <row r="25" spans="1:11" x14ac:dyDescent="0.35">
      <c r="A25" s="19"/>
      <c r="B25" s="19"/>
      <c r="C25" s="19"/>
      <c r="D25" s="19"/>
      <c r="E25" s="19"/>
      <c r="F25" s="19"/>
      <c r="G25" s="19"/>
    </row>
    <row r="26" spans="1:11" x14ac:dyDescent="0.35">
      <c r="A26" s="19"/>
      <c r="B26" s="19"/>
      <c r="C26" s="19"/>
      <c r="D26" s="19"/>
      <c r="E26" s="19"/>
      <c r="F26" s="19"/>
      <c r="G26" s="19"/>
      <c r="K26" s="19"/>
    </row>
    <row r="27" spans="1:11" x14ac:dyDescent="0.35">
      <c r="A27" s="19"/>
      <c r="B27" s="19"/>
      <c r="C27" s="19"/>
      <c r="D27" s="19"/>
      <c r="E27" s="19"/>
      <c r="F27" s="19"/>
      <c r="G27" s="19"/>
    </row>
    <row r="28" spans="1:11" x14ac:dyDescent="0.35">
      <c r="A28" s="19"/>
      <c r="B28" s="19"/>
      <c r="C28" s="19"/>
      <c r="D28" s="19"/>
      <c r="E28" s="19"/>
      <c r="F28" s="19"/>
      <c r="G28" s="19"/>
    </row>
    <row r="29" spans="1:11" x14ac:dyDescent="0.35">
      <c r="A29" s="19"/>
      <c r="B29" s="19"/>
      <c r="C29" s="19"/>
      <c r="D29" s="19"/>
      <c r="E29" s="19"/>
      <c r="F29" s="19"/>
      <c r="G29" s="19"/>
    </row>
    <row r="30" spans="1:11" x14ac:dyDescent="0.35">
      <c r="A30" s="19"/>
      <c r="B30" s="19"/>
      <c r="C30" s="19"/>
      <c r="D30" s="19"/>
      <c r="E30" s="19"/>
      <c r="F30" s="19"/>
      <c r="G30" s="19"/>
    </row>
    <row r="31" spans="1:11" x14ac:dyDescent="0.35">
      <c r="A31" s="19"/>
      <c r="B31" s="19"/>
      <c r="C31" s="19"/>
      <c r="D31" s="19"/>
      <c r="E31" s="19"/>
      <c r="F31" s="19"/>
      <c r="G31" s="19"/>
    </row>
    <row r="32" spans="1:11" x14ac:dyDescent="0.35">
      <c r="A32" s="19"/>
      <c r="B32" s="19"/>
      <c r="C32" s="19"/>
      <c r="D32" s="19"/>
      <c r="E32" s="19"/>
      <c r="F32" s="19"/>
      <c r="G32" s="19"/>
    </row>
    <row r="33" spans="1:7" x14ac:dyDescent="0.35">
      <c r="A33" s="19"/>
      <c r="B33" s="19"/>
      <c r="C33" s="19"/>
      <c r="D33" s="19"/>
      <c r="E33" s="19"/>
      <c r="F33" s="19"/>
      <c r="G33" s="19"/>
    </row>
    <row r="34" spans="1:7" x14ac:dyDescent="0.35">
      <c r="A34" s="19"/>
      <c r="B34" s="19"/>
      <c r="C34" s="19"/>
      <c r="D34" s="19"/>
      <c r="E34" s="19"/>
      <c r="F34" s="19"/>
      <c r="G34" s="19"/>
    </row>
    <row r="35" spans="1:7" x14ac:dyDescent="0.35">
      <c r="A35" s="19"/>
      <c r="B35" s="19"/>
      <c r="C35" s="19"/>
      <c r="D35" s="19"/>
      <c r="E35" s="19"/>
      <c r="F35" s="19"/>
      <c r="G35" s="19"/>
    </row>
    <row r="36" spans="1:7" x14ac:dyDescent="0.35">
      <c r="A36" s="19"/>
      <c r="B36" s="19"/>
      <c r="C36" s="19"/>
      <c r="D36" s="19"/>
      <c r="E36" s="19"/>
      <c r="F36" s="19"/>
      <c r="G36" s="19"/>
    </row>
    <row r="37" spans="1:7" x14ac:dyDescent="0.35">
      <c r="A37" s="19"/>
      <c r="B37" s="19"/>
      <c r="C37" s="19"/>
      <c r="D37" s="19"/>
      <c r="E37" s="19"/>
      <c r="F37" s="19"/>
      <c r="G37" s="19"/>
    </row>
    <row r="38" spans="1:7" x14ac:dyDescent="0.35">
      <c r="A38" s="19"/>
      <c r="B38" s="19"/>
      <c r="C38" s="19"/>
      <c r="D38" s="19"/>
      <c r="E38" s="19"/>
      <c r="F38" s="19"/>
      <c r="G38" s="19"/>
    </row>
    <row r="39" spans="1:7" x14ac:dyDescent="0.35">
      <c r="A39" s="19"/>
      <c r="B39" s="19"/>
      <c r="C39" s="19"/>
      <c r="D39" s="19"/>
      <c r="E39" s="19"/>
      <c r="F39" s="19"/>
      <c r="G39" s="19"/>
    </row>
    <row r="40" spans="1:7" x14ac:dyDescent="0.35">
      <c r="A40" s="19"/>
      <c r="B40" s="19"/>
      <c r="C40" s="19"/>
      <c r="D40" s="19"/>
      <c r="E40" s="19"/>
      <c r="F40" s="19"/>
      <c r="G40" s="19"/>
    </row>
    <row r="41" spans="1:7" x14ac:dyDescent="0.35">
      <c r="A41" s="19"/>
      <c r="B41" s="19"/>
      <c r="C41" s="19"/>
      <c r="D41" s="19"/>
      <c r="E41" s="19"/>
      <c r="F41" s="19"/>
      <c r="G41" s="19"/>
    </row>
    <row r="42" spans="1:7" x14ac:dyDescent="0.35">
      <c r="A42" s="19"/>
      <c r="B42" s="19"/>
      <c r="C42" s="19"/>
      <c r="D42" s="19"/>
      <c r="E42" s="19"/>
      <c r="F42" s="19"/>
      <c r="G42" s="19"/>
    </row>
    <row r="43" spans="1:7" x14ac:dyDescent="0.35">
      <c r="A43" s="19"/>
      <c r="B43" s="19"/>
      <c r="C43" s="19"/>
      <c r="D43" s="19"/>
      <c r="E43" s="19"/>
      <c r="F43" s="19"/>
      <c r="G43" s="19"/>
    </row>
    <row r="44" spans="1:7" x14ac:dyDescent="0.35">
      <c r="A44" s="19"/>
      <c r="B44" s="19"/>
      <c r="C44" s="19"/>
      <c r="D44" s="19"/>
      <c r="E44" s="19"/>
      <c r="F44" s="19"/>
      <c r="G44" s="19"/>
    </row>
    <row r="45" spans="1:7" x14ac:dyDescent="0.35">
      <c r="A45" s="19"/>
      <c r="B45" s="19"/>
      <c r="C45" s="19"/>
      <c r="D45" s="19"/>
      <c r="E45" s="19"/>
      <c r="F45" s="19"/>
      <c r="G45" s="19"/>
    </row>
    <row r="46" spans="1:7" x14ac:dyDescent="0.35">
      <c r="A46" s="19"/>
      <c r="B46" s="19"/>
      <c r="C46" s="19"/>
      <c r="D46" s="19"/>
      <c r="E46" s="19"/>
      <c r="F46" s="19"/>
      <c r="G46" s="19"/>
    </row>
    <row r="47" spans="1:7" x14ac:dyDescent="0.35">
      <c r="A47" s="19"/>
      <c r="B47" s="19"/>
      <c r="C47" s="19"/>
      <c r="D47" s="19"/>
      <c r="E47" s="19"/>
      <c r="F47" s="19"/>
      <c r="G47" s="19"/>
    </row>
    <row r="48" spans="1:7" x14ac:dyDescent="0.35">
      <c r="A48" s="19"/>
      <c r="B48" s="19"/>
      <c r="C48" s="19"/>
      <c r="D48" s="19"/>
      <c r="E48" s="19"/>
      <c r="F48" s="19"/>
      <c r="G48" s="19"/>
    </row>
    <row r="49" spans="1:7" x14ac:dyDescent="0.35">
      <c r="A49" s="19"/>
      <c r="B49" s="19"/>
      <c r="C49" s="19"/>
      <c r="D49" s="19"/>
      <c r="E49" s="19"/>
      <c r="F49" s="19"/>
      <c r="G49" s="19"/>
    </row>
    <row r="50" spans="1:7" x14ac:dyDescent="0.35">
      <c r="A50" s="19"/>
      <c r="B50" s="19"/>
      <c r="C50" s="19"/>
      <c r="D50" s="19"/>
      <c r="E50" s="19"/>
      <c r="F50" s="19"/>
      <c r="G50" s="19"/>
    </row>
    <row r="51" spans="1:7" x14ac:dyDescent="0.35">
      <c r="A51" s="19"/>
      <c r="B51" s="19"/>
      <c r="C51" s="19"/>
      <c r="D51" s="19"/>
      <c r="E51" s="19"/>
      <c r="F51" s="19"/>
      <c r="G51" s="19"/>
    </row>
    <row r="52" spans="1:7" x14ac:dyDescent="0.35">
      <c r="A52" s="19"/>
      <c r="B52" s="19"/>
      <c r="C52" s="19"/>
      <c r="D52" s="19"/>
      <c r="E52" s="19"/>
      <c r="F52" s="19"/>
      <c r="G52" s="19"/>
    </row>
  </sheetData>
  <sheetProtection algorithmName="SHA-512" hashValue="v1CyERiU2ZXOAFojLpfwB39vkcG/jPLiTE9MQydfY5iMwXpfKNNeHiwevZa9/jZJ6iGJPDP2bfXT2NLYMlJxPw==" saltValue="0xkAIq2WneH+5RLSU5R7Gw==" spinCount="100000" sheet="1" objects="1" scenarios="1" selectLockedCells="1" autoFilter="0" pivotTables="0"/>
  <mergeCells count="4">
    <mergeCell ref="A3:B3"/>
    <mergeCell ref="A1:B2"/>
    <mergeCell ref="E1:F2"/>
    <mergeCell ref="E3:F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2266950</xdr:colOff>
                    <xdr:row>9</xdr:row>
                    <xdr:rowOff>88900</xdr:rowOff>
                  </from>
                  <to>
                    <xdr:col>1</xdr:col>
                    <xdr:colOff>2482850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787400</xdr:colOff>
                    <xdr:row>0</xdr:row>
                    <xdr:rowOff>120650</xdr:rowOff>
                  </from>
                  <to>
                    <xdr:col>1</xdr:col>
                    <xdr:colOff>971550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3_Code">
                <anchor moveWithCells="1" sizeWithCells="1">
                  <from>
                    <xdr:col>5</xdr:col>
                    <xdr:colOff>787400</xdr:colOff>
                    <xdr:row>0</xdr:row>
                    <xdr:rowOff>120650</xdr:rowOff>
                  </from>
                  <to>
                    <xdr:col>5</xdr:col>
                    <xdr:colOff>971550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3_Code">
                <anchor moveWithCells="1" sizeWithCells="1">
                  <from>
                    <xdr:col>5</xdr:col>
                    <xdr:colOff>2305050</xdr:colOff>
                    <xdr:row>9</xdr:row>
                    <xdr:rowOff>127000</xdr:rowOff>
                  </from>
                  <to>
                    <xdr:col>5</xdr:col>
                    <xdr:colOff>2489200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sunakshi chauhan</dc:creator>
  <cp:lastModifiedBy>sunakshi chauhan</cp:lastModifiedBy>
  <dcterms:created xsi:type="dcterms:W3CDTF">2026-09-17T12:21:34Z</dcterms:created>
  <dcterms:modified xsi:type="dcterms:W3CDTF">2026-09-26T11:34:51Z</dcterms:modified>
</cp:coreProperties>
</file>